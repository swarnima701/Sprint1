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4000" windowHeight="9630" firstSheet="2" activeTab="6"/>
  </bookViews>
  <sheets>
    <sheet name=" Monthly Activity" sheetId="2" r:id="rId1"/>
    <sheet name=" Likes by Topic" sheetId="3" r:id="rId2"/>
    <sheet name=" Plateform Analysis" sheetId="4" r:id="rId3"/>
    <sheet name=" Tranding Topics" sheetId="5" r:id="rId4"/>
    <sheet name="sentiment distribution" sheetId="6" r:id="rId5"/>
    <sheet name="social media sentiment Project" sheetId="1" r:id="rId6"/>
    <sheet name="DASHBOARD" sheetId="7" r:id="rId7"/>
  </sheets>
  <definedNames>
    <definedName name="Slicer_Likes">#N/A</definedName>
    <definedName name="Slicer_Sentiment_Scor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49" i="1" l="1"/>
  <c r="F148" i="1"/>
  <c r="F147" i="1"/>
  <c r="F14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6" i="1"/>
</calcChain>
</file>

<file path=xl/sharedStrings.xml><?xml version="1.0" encoding="utf-8"?>
<sst xmlns="http://schemas.openxmlformats.org/spreadsheetml/2006/main" count="670" uniqueCount="75">
  <si>
    <t>Social Media Sentient Analysis Dataset</t>
  </si>
  <si>
    <t>Post_ID</t>
  </si>
  <si>
    <t>User_Name</t>
  </si>
  <si>
    <t>Platform</t>
  </si>
  <si>
    <t>Month</t>
  </si>
  <si>
    <t>Date</t>
  </si>
  <si>
    <t>Comment_Text</t>
  </si>
  <si>
    <t>Sentiment</t>
  </si>
  <si>
    <t>Sentiment Score</t>
  </si>
  <si>
    <t>Topic</t>
  </si>
  <si>
    <t>Likes</t>
  </si>
  <si>
    <t>Shares</t>
  </si>
  <si>
    <t>Comment_Count</t>
  </si>
  <si>
    <t>Amit</t>
  </si>
  <si>
    <t>Facebook</t>
  </si>
  <si>
    <t>Jan</t>
  </si>
  <si>
    <t>The product was launched today</t>
  </si>
  <si>
    <t>Neutral</t>
  </si>
  <si>
    <t>E-commerce</t>
  </si>
  <si>
    <t>Kavya</t>
  </si>
  <si>
    <t>LinkedIn</t>
  </si>
  <si>
    <t>Great service and amazing experience</t>
  </si>
  <si>
    <t>Positive</t>
  </si>
  <si>
    <t>AI</t>
  </si>
  <si>
    <t>Rohan</t>
  </si>
  <si>
    <t>Instagram</t>
  </si>
  <si>
    <t>Technology</t>
  </si>
  <si>
    <t>Pooja</t>
  </si>
  <si>
    <t>Customer support is very slow</t>
  </si>
  <si>
    <t>Negative</t>
  </si>
  <si>
    <t>Vikas</t>
  </si>
  <si>
    <t>Not satisfied with the service</t>
  </si>
  <si>
    <t>Arjun</t>
  </si>
  <si>
    <t>Twitter</t>
  </si>
  <si>
    <t>Education</t>
  </si>
  <si>
    <t>Terrible experience with the app</t>
  </si>
  <si>
    <t>Healthcare</t>
  </si>
  <si>
    <t>This is an informational post</t>
  </si>
  <si>
    <t>Priya</t>
  </si>
  <si>
    <t>Very helpful and easy to use</t>
  </si>
  <si>
    <t>Rahul</t>
  </si>
  <si>
    <t>Sports</t>
  </si>
  <si>
    <t>The update introduced many bugs</t>
  </si>
  <si>
    <t>Loved the new feature</t>
  </si>
  <si>
    <t>Sneha</t>
  </si>
  <si>
    <t>The event starts next week</t>
  </si>
  <si>
    <t>I tried the feature yesterday</t>
  </si>
  <si>
    <t>Neha</t>
  </si>
  <si>
    <t>Feb</t>
  </si>
  <si>
    <t>Excellent customer support</t>
  </si>
  <si>
    <t>Mar</t>
  </si>
  <si>
    <t>Apr</t>
  </si>
  <si>
    <t>1)   Clean dataset</t>
  </si>
  <si>
    <t>2) Give the table name</t>
  </si>
  <si>
    <t>3) select all dataset then click ctrl+T</t>
  </si>
  <si>
    <t>4)   Click ok</t>
  </si>
  <si>
    <t>5) Add Month Colunm Enter the formula            =TEXT([@Date],"mmm")</t>
  </si>
  <si>
    <t>6) Add sentiment score column Enter the formula        =IF([@Sentiment]="Positive",1,IF([@Sentiment]="Negative",-1,0))</t>
  </si>
  <si>
    <t>7) Add pivot table &amp; Pivot chart</t>
  </si>
  <si>
    <t>8)  In the sentiment distribution sheet Select sentiment in the row and values count of post_ID and add the pie chart</t>
  </si>
  <si>
    <t>9) In the Tranding Topics sheet Select Topic in the row and values count of post_ID and add the Bar Clustered chart</t>
  </si>
  <si>
    <t>10) In the Plateform Analysis sheet Select Plateform in the row and values count of post_ID and add the column chart</t>
  </si>
  <si>
    <t xml:space="preserve"> 11) In the Likes by Topic sheet Select Topic in the row and values sum of post_ID and add the pie chart </t>
  </si>
  <si>
    <t xml:space="preserve"> 12) In the Monthly Activity sheet Select Month in the row and values count of post_ID and add the line chart</t>
  </si>
  <si>
    <t>13) In the Dashboard sheet create the KPI CARDS and add the columns Like(Total Posts, Total Likes, Total Shares, Everage Engagement)</t>
  </si>
  <si>
    <t>18) Add the slicer for Topic, Plateform, Sentiment, Month</t>
  </si>
  <si>
    <t>19) In the slicer right click&gt;click on the report connection&gt;select all</t>
  </si>
  <si>
    <t>Row Labels</t>
  </si>
  <si>
    <t>Grand Total</t>
  </si>
  <si>
    <t>Sum of Post_ID</t>
  </si>
  <si>
    <t>Count of Post_ID</t>
  </si>
  <si>
    <t>14)  The Total Posts formula             =COUNTA(A5:A125)-1</t>
  </si>
  <si>
    <t>15) The Total Likes formula             =SUM(J5:J125)</t>
  </si>
  <si>
    <t>16) The Total Shares formula         =SUM(K5:K125)</t>
  </si>
  <si>
    <t xml:space="preserve">17) Average Engagement formula   =(SUM(J5:J125)+SUM(K5:K125)+SUM(L5:L125))/COUNTA(A5:A125)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</si>
</sst>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Monthly Activity!PivotTable1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s>
    <c:plotArea>
      <c:layout/>
      <c:lineChart>
        <c:grouping val="stacked"/>
        <c:varyColors val="0"/>
        <c:ser>
          <c:idx val="0"/>
          <c:order val="0"/>
          <c:tx>
            <c:strRef>
              <c:f>' Monthly Activity'!$B$3</c:f>
              <c:strCache>
                <c:ptCount val="1"/>
                <c:pt idx="0">
                  <c:v>Total</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strRef>
              <c:f>' Monthly Activity'!$A$4:$A$8</c:f>
              <c:strCache>
                <c:ptCount val="4"/>
                <c:pt idx="0">
                  <c:v>Jan</c:v>
                </c:pt>
                <c:pt idx="1">
                  <c:v>Feb</c:v>
                </c:pt>
                <c:pt idx="2">
                  <c:v>Mar</c:v>
                </c:pt>
                <c:pt idx="3">
                  <c:v>Apr</c:v>
                </c:pt>
              </c:strCache>
            </c:strRef>
          </c:cat>
          <c:val>
            <c:numRef>
              <c:f>' Monthly Activity'!$B$4:$B$8</c:f>
              <c:numCache>
                <c:formatCode>General</c:formatCode>
                <c:ptCount val="4"/>
                <c:pt idx="0">
                  <c:v>31</c:v>
                </c:pt>
                <c:pt idx="1">
                  <c:v>28</c:v>
                </c:pt>
                <c:pt idx="2">
                  <c:v>31</c:v>
                </c:pt>
                <c:pt idx="3">
                  <c:v>30</c:v>
                </c:pt>
              </c:numCache>
            </c:numRef>
          </c:val>
          <c:smooth val="0"/>
          <c:extLst>
            <c:ext xmlns:c16="http://schemas.microsoft.com/office/drawing/2014/chart" uri="{C3380CC4-5D6E-409C-BE32-E72D297353CC}">
              <c16:uniqueId val="{00000000-AFD1-4E98-8D54-5A1592B408A2}"/>
            </c:ext>
          </c:extLst>
        </c:ser>
        <c:dLbls>
          <c:showLegendKey val="0"/>
          <c:showVal val="0"/>
          <c:showCatName val="0"/>
          <c:showSerName val="0"/>
          <c:showPercent val="0"/>
          <c:showBubbleSize val="0"/>
        </c:dLbls>
        <c:marker val="1"/>
        <c:smooth val="0"/>
        <c:axId val="406840272"/>
        <c:axId val="406840600"/>
      </c:lineChart>
      <c:catAx>
        <c:axId val="4068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600"/>
        <c:crosses val="autoZero"/>
        <c:auto val="1"/>
        <c:lblAlgn val="ctr"/>
        <c:lblOffset val="100"/>
        <c:noMultiLvlLbl val="0"/>
      </c:catAx>
      <c:valAx>
        <c:axId val="40684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Likes by Topic!PivotTable2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 Likes by Topic'!$B$3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9E-4CEF-B5C6-9A9FEC56A3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9E-4CEF-B5C6-9A9FEC56A3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9E-4CEF-B5C6-9A9FEC56A3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9E-4CEF-B5C6-9A9FEC56A3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9E-4CEF-B5C6-9A9FEC56A3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9E-4CEF-B5C6-9A9FEC56A3ED}"/>
              </c:ext>
            </c:extLst>
          </c:dPt>
          <c:cat>
            <c:strRef>
              <c:f>' Likes by Topic'!$A$4:$A$10</c:f>
              <c:strCache>
                <c:ptCount val="6"/>
                <c:pt idx="0">
                  <c:v>AI</c:v>
                </c:pt>
                <c:pt idx="1">
                  <c:v>E-commerce</c:v>
                </c:pt>
                <c:pt idx="2">
                  <c:v>Education</c:v>
                </c:pt>
                <c:pt idx="3">
                  <c:v>Healthcare</c:v>
                </c:pt>
                <c:pt idx="4">
                  <c:v>Sports</c:v>
                </c:pt>
                <c:pt idx="5">
                  <c:v>Technology</c:v>
                </c:pt>
              </c:strCache>
            </c:strRef>
          </c:cat>
          <c:val>
            <c:numRef>
              <c:f>' Likes by Topic'!$B$4:$B$10</c:f>
              <c:numCache>
                <c:formatCode>General</c:formatCode>
                <c:ptCount val="6"/>
                <c:pt idx="0">
                  <c:v>1274</c:v>
                </c:pt>
                <c:pt idx="1">
                  <c:v>867</c:v>
                </c:pt>
                <c:pt idx="2">
                  <c:v>1268</c:v>
                </c:pt>
                <c:pt idx="3">
                  <c:v>1602</c:v>
                </c:pt>
                <c:pt idx="4">
                  <c:v>1324</c:v>
                </c:pt>
                <c:pt idx="5">
                  <c:v>925</c:v>
                </c:pt>
              </c:numCache>
            </c:numRef>
          </c:val>
          <c:extLst>
            <c:ext xmlns:c16="http://schemas.microsoft.com/office/drawing/2014/chart" uri="{C3380CC4-5D6E-409C-BE32-E72D297353CC}">
              <c16:uniqueId val="{00000000-D8CC-48F7-AB47-1934FFB7BB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Plateform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pivotFmt>
    </c:pivotFmts>
    <c:plotArea>
      <c:layout/>
      <c:barChart>
        <c:barDir val="col"/>
        <c:grouping val="clustered"/>
        <c:varyColors val="0"/>
        <c:ser>
          <c:idx val="0"/>
          <c:order val="0"/>
          <c:tx>
            <c:strRef>
              <c:f>' Plateform Analysis'!$B$3</c:f>
              <c:strCache>
                <c:ptCount val="1"/>
                <c:pt idx="0">
                  <c:v>Total</c:v>
                </c:pt>
              </c:strCache>
            </c:strRef>
          </c:tx>
          <c:spPr>
            <a:solidFill>
              <a:schemeClr val="tx2">
                <a:lumMod val="75000"/>
              </a:schemeClr>
            </a:solidFill>
            <a:ln>
              <a:noFill/>
            </a:ln>
            <a:effectLst/>
          </c:spPr>
          <c:invertIfNegative val="0"/>
          <c:cat>
            <c:strRef>
              <c:f>' Plateform Analysis'!$A$4:$A$8</c:f>
              <c:strCache>
                <c:ptCount val="4"/>
                <c:pt idx="0">
                  <c:v>Facebook</c:v>
                </c:pt>
                <c:pt idx="1">
                  <c:v>Instagram</c:v>
                </c:pt>
                <c:pt idx="2">
                  <c:v>LinkedIn</c:v>
                </c:pt>
                <c:pt idx="3">
                  <c:v>Twitter</c:v>
                </c:pt>
              </c:strCache>
            </c:strRef>
          </c:cat>
          <c:val>
            <c:numRef>
              <c:f>' Plateform Analysis'!$B$4:$B$8</c:f>
              <c:numCache>
                <c:formatCode>General</c:formatCode>
                <c:ptCount val="4"/>
                <c:pt idx="0">
                  <c:v>26</c:v>
                </c:pt>
                <c:pt idx="1">
                  <c:v>35</c:v>
                </c:pt>
                <c:pt idx="2">
                  <c:v>28</c:v>
                </c:pt>
                <c:pt idx="3">
                  <c:v>31</c:v>
                </c:pt>
              </c:numCache>
            </c:numRef>
          </c:val>
          <c:extLst>
            <c:ext xmlns:c16="http://schemas.microsoft.com/office/drawing/2014/chart" uri="{C3380CC4-5D6E-409C-BE32-E72D297353CC}">
              <c16:uniqueId val="{00000000-6A6A-4406-A378-6D754E4C2D20}"/>
            </c:ext>
          </c:extLst>
        </c:ser>
        <c:dLbls>
          <c:showLegendKey val="0"/>
          <c:showVal val="0"/>
          <c:showCatName val="0"/>
          <c:showSerName val="0"/>
          <c:showPercent val="0"/>
          <c:showBubbleSize val="0"/>
        </c:dLbls>
        <c:gapWidth val="219"/>
        <c:overlap val="-27"/>
        <c:axId val="406816656"/>
        <c:axId val="406815344"/>
      </c:barChart>
      <c:catAx>
        <c:axId val="4068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5344"/>
        <c:crosses val="autoZero"/>
        <c:auto val="1"/>
        <c:lblAlgn val="ctr"/>
        <c:lblOffset val="100"/>
        <c:noMultiLvlLbl val="0"/>
      </c:catAx>
      <c:valAx>
        <c:axId val="4068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Tranding Topics!PivotTable4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 Tranding Topics'!$B$3</c:f>
              <c:strCache>
                <c:ptCount val="1"/>
                <c:pt idx="0">
                  <c:v>Total</c:v>
                </c:pt>
              </c:strCache>
            </c:strRef>
          </c:tx>
          <c:spPr>
            <a:solidFill>
              <a:schemeClr val="accent1"/>
            </a:solidFill>
            <a:ln>
              <a:noFill/>
            </a:ln>
            <a:effectLst/>
          </c:spPr>
          <c:invertIfNegative val="0"/>
          <c:cat>
            <c:strRef>
              <c:f>' Tranding Topics'!$A$4:$A$10</c:f>
              <c:strCache>
                <c:ptCount val="6"/>
                <c:pt idx="0">
                  <c:v>AI</c:v>
                </c:pt>
                <c:pt idx="1">
                  <c:v>E-commerce</c:v>
                </c:pt>
                <c:pt idx="2">
                  <c:v>Education</c:v>
                </c:pt>
                <c:pt idx="3">
                  <c:v>Healthcare</c:v>
                </c:pt>
                <c:pt idx="4">
                  <c:v>Sports</c:v>
                </c:pt>
                <c:pt idx="5">
                  <c:v>Technology</c:v>
                </c:pt>
              </c:strCache>
            </c:strRef>
          </c:cat>
          <c:val>
            <c:numRef>
              <c:f>' Tranding Topics'!$B$4:$B$10</c:f>
              <c:numCache>
                <c:formatCode>General</c:formatCode>
                <c:ptCount val="6"/>
                <c:pt idx="0">
                  <c:v>21</c:v>
                </c:pt>
                <c:pt idx="1">
                  <c:v>18</c:v>
                </c:pt>
                <c:pt idx="2">
                  <c:v>19</c:v>
                </c:pt>
                <c:pt idx="3">
                  <c:v>23</c:v>
                </c:pt>
                <c:pt idx="4">
                  <c:v>20</c:v>
                </c:pt>
                <c:pt idx="5">
                  <c:v>19</c:v>
                </c:pt>
              </c:numCache>
            </c:numRef>
          </c:val>
          <c:extLst>
            <c:ext xmlns:c16="http://schemas.microsoft.com/office/drawing/2014/chart" uri="{C3380CC4-5D6E-409C-BE32-E72D297353CC}">
              <c16:uniqueId val="{00000000-983D-4037-8B95-66DC69BAA0FC}"/>
            </c:ext>
          </c:extLst>
        </c:ser>
        <c:dLbls>
          <c:showLegendKey val="0"/>
          <c:showVal val="0"/>
          <c:showCatName val="0"/>
          <c:showSerName val="0"/>
          <c:showPercent val="0"/>
          <c:showBubbleSize val="0"/>
        </c:dLbls>
        <c:gapWidth val="182"/>
        <c:axId val="406804520"/>
        <c:axId val="406807800"/>
      </c:barChart>
      <c:catAx>
        <c:axId val="406804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7800"/>
        <c:crosses val="autoZero"/>
        <c:auto val="1"/>
        <c:lblAlgn val="ctr"/>
        <c:lblOffset val="100"/>
        <c:noMultiLvlLbl val="0"/>
      </c:catAx>
      <c:valAx>
        <c:axId val="406807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4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[dashboard.xlsx]sentiment distribution!PivotTable5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'sentiment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97-4A90-8849-F3BD56FDF5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97-4A90-8849-F3BD56FDF5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97-4A90-8849-F3BD56FDF5F0}"/>
              </c:ext>
            </c:extLst>
          </c:dPt>
          <c:cat>
            <c:strRef>
              <c:f>'sentiment distribution'!$A$4:$A$7</c:f>
              <c:strCache>
                <c:ptCount val="3"/>
                <c:pt idx="0">
                  <c:v>Negative</c:v>
                </c:pt>
                <c:pt idx="1">
                  <c:v>Neutral</c:v>
                </c:pt>
                <c:pt idx="2">
                  <c:v>Positive</c:v>
                </c:pt>
              </c:strCache>
            </c:strRef>
          </c:cat>
          <c:val>
            <c:numRef>
              <c:f>'sentiment distribution'!$B$4:$B$7</c:f>
              <c:numCache>
                <c:formatCode>General</c:formatCode>
                <c:ptCount val="3"/>
                <c:pt idx="0">
                  <c:v>39</c:v>
                </c:pt>
                <c:pt idx="1">
                  <c:v>41</c:v>
                </c:pt>
                <c:pt idx="2">
                  <c:v>40</c:v>
                </c:pt>
              </c:numCache>
            </c:numRef>
          </c:val>
          <c:extLst>
            <c:ext xmlns:c16="http://schemas.microsoft.com/office/drawing/2014/chart" uri="{C3380CC4-5D6E-409C-BE32-E72D297353CC}">
              <c16:uniqueId val="{00000000-24F8-4293-AA24-854FF6AAF0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'social media sentiment Project'!$J$5</c:f>
              <c:strCache>
                <c:ptCount val="1"/>
                <c:pt idx="0">
                  <c:v>Likes</c:v>
                </c:pt>
              </c:strCache>
            </c:strRef>
          </c:tx>
          <c:spPr>
            <a:solidFill>
              <a:schemeClr val="accent1"/>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Project'!$J$6:$J$125</c:f>
              <c:numCache>
                <c:formatCode>General</c:formatCode>
                <c:ptCount val="120"/>
                <c:pt idx="0">
                  <c:v>114</c:v>
                </c:pt>
                <c:pt idx="1">
                  <c:v>15</c:v>
                </c:pt>
                <c:pt idx="2">
                  <c:v>332</c:v>
                </c:pt>
                <c:pt idx="3">
                  <c:v>388</c:v>
                </c:pt>
                <c:pt idx="4">
                  <c:v>490</c:v>
                </c:pt>
                <c:pt idx="5">
                  <c:v>433</c:v>
                </c:pt>
                <c:pt idx="6">
                  <c:v>40</c:v>
                </c:pt>
                <c:pt idx="7">
                  <c:v>35</c:v>
                </c:pt>
                <c:pt idx="8">
                  <c:v>194</c:v>
                </c:pt>
                <c:pt idx="9">
                  <c:v>107</c:v>
                </c:pt>
                <c:pt idx="10">
                  <c:v>373</c:v>
                </c:pt>
                <c:pt idx="11">
                  <c:v>166</c:v>
                </c:pt>
                <c:pt idx="12">
                  <c:v>137</c:v>
                </c:pt>
                <c:pt idx="13">
                  <c:v>452</c:v>
                </c:pt>
                <c:pt idx="14">
                  <c:v>287</c:v>
                </c:pt>
                <c:pt idx="15">
                  <c:v>112</c:v>
                </c:pt>
                <c:pt idx="16">
                  <c:v>321</c:v>
                </c:pt>
                <c:pt idx="17">
                  <c:v>239</c:v>
                </c:pt>
                <c:pt idx="18">
                  <c:v>174</c:v>
                </c:pt>
                <c:pt idx="19">
                  <c:v>448</c:v>
                </c:pt>
                <c:pt idx="20">
                  <c:v>152</c:v>
                </c:pt>
                <c:pt idx="21">
                  <c:v>276</c:v>
                </c:pt>
                <c:pt idx="22">
                  <c:v>475</c:v>
                </c:pt>
                <c:pt idx="23">
                  <c:v>374</c:v>
                </c:pt>
                <c:pt idx="24">
                  <c:v>84</c:v>
                </c:pt>
                <c:pt idx="25">
                  <c:v>159</c:v>
                </c:pt>
                <c:pt idx="26">
                  <c:v>126</c:v>
                </c:pt>
                <c:pt idx="27">
                  <c:v>112</c:v>
                </c:pt>
                <c:pt idx="28">
                  <c:v>440</c:v>
                </c:pt>
                <c:pt idx="29">
                  <c:v>276</c:v>
                </c:pt>
                <c:pt idx="30">
                  <c:v>97</c:v>
                </c:pt>
                <c:pt idx="31">
                  <c:v>239</c:v>
                </c:pt>
                <c:pt idx="32">
                  <c:v>173</c:v>
                </c:pt>
                <c:pt idx="33">
                  <c:v>216</c:v>
                </c:pt>
                <c:pt idx="34">
                  <c:v>50</c:v>
                </c:pt>
                <c:pt idx="35">
                  <c:v>208</c:v>
                </c:pt>
                <c:pt idx="36">
                  <c:v>1</c:v>
                </c:pt>
                <c:pt idx="37">
                  <c:v>97</c:v>
                </c:pt>
                <c:pt idx="38">
                  <c:v>299</c:v>
                </c:pt>
                <c:pt idx="39">
                  <c:v>35</c:v>
                </c:pt>
                <c:pt idx="40">
                  <c:v>126</c:v>
                </c:pt>
                <c:pt idx="41">
                  <c:v>104</c:v>
                </c:pt>
                <c:pt idx="42">
                  <c:v>343</c:v>
                </c:pt>
                <c:pt idx="43">
                  <c:v>318</c:v>
                </c:pt>
                <c:pt idx="44">
                  <c:v>477</c:v>
                </c:pt>
                <c:pt idx="45">
                  <c:v>426</c:v>
                </c:pt>
                <c:pt idx="46">
                  <c:v>53</c:v>
                </c:pt>
                <c:pt idx="47">
                  <c:v>144</c:v>
                </c:pt>
                <c:pt idx="48">
                  <c:v>250</c:v>
                </c:pt>
                <c:pt idx="49">
                  <c:v>170</c:v>
                </c:pt>
                <c:pt idx="50">
                  <c:v>361</c:v>
                </c:pt>
                <c:pt idx="51">
                  <c:v>18</c:v>
                </c:pt>
                <c:pt idx="52">
                  <c:v>157</c:v>
                </c:pt>
                <c:pt idx="53">
                  <c:v>399</c:v>
                </c:pt>
                <c:pt idx="54">
                  <c:v>451</c:v>
                </c:pt>
                <c:pt idx="55">
                  <c:v>81</c:v>
                </c:pt>
                <c:pt idx="56">
                  <c:v>418</c:v>
                </c:pt>
                <c:pt idx="57">
                  <c:v>98</c:v>
                </c:pt>
                <c:pt idx="58">
                  <c:v>260</c:v>
                </c:pt>
                <c:pt idx="59">
                  <c:v>91</c:v>
                </c:pt>
                <c:pt idx="60">
                  <c:v>373</c:v>
                </c:pt>
                <c:pt idx="61">
                  <c:v>22</c:v>
                </c:pt>
                <c:pt idx="62">
                  <c:v>485</c:v>
                </c:pt>
                <c:pt idx="63">
                  <c:v>158</c:v>
                </c:pt>
                <c:pt idx="64">
                  <c:v>215</c:v>
                </c:pt>
                <c:pt idx="65">
                  <c:v>280</c:v>
                </c:pt>
                <c:pt idx="66">
                  <c:v>226</c:v>
                </c:pt>
                <c:pt idx="67">
                  <c:v>263</c:v>
                </c:pt>
                <c:pt idx="68">
                  <c:v>158</c:v>
                </c:pt>
                <c:pt idx="69">
                  <c:v>312</c:v>
                </c:pt>
                <c:pt idx="70">
                  <c:v>356</c:v>
                </c:pt>
                <c:pt idx="71">
                  <c:v>398</c:v>
                </c:pt>
                <c:pt idx="72">
                  <c:v>233</c:v>
                </c:pt>
                <c:pt idx="73">
                  <c:v>228</c:v>
                </c:pt>
                <c:pt idx="74">
                  <c:v>141</c:v>
                </c:pt>
                <c:pt idx="75">
                  <c:v>39</c:v>
                </c:pt>
                <c:pt idx="76">
                  <c:v>41</c:v>
                </c:pt>
                <c:pt idx="77">
                  <c:v>212</c:v>
                </c:pt>
                <c:pt idx="78">
                  <c:v>426</c:v>
                </c:pt>
                <c:pt idx="79">
                  <c:v>3</c:v>
                </c:pt>
                <c:pt idx="80">
                  <c:v>112</c:v>
                </c:pt>
                <c:pt idx="81">
                  <c:v>347</c:v>
                </c:pt>
                <c:pt idx="82">
                  <c:v>303</c:v>
                </c:pt>
                <c:pt idx="83">
                  <c:v>93</c:v>
                </c:pt>
                <c:pt idx="84">
                  <c:v>172</c:v>
                </c:pt>
                <c:pt idx="85">
                  <c:v>9</c:v>
                </c:pt>
                <c:pt idx="86">
                  <c:v>20</c:v>
                </c:pt>
                <c:pt idx="87">
                  <c:v>64</c:v>
                </c:pt>
                <c:pt idx="88">
                  <c:v>85</c:v>
                </c:pt>
                <c:pt idx="89">
                  <c:v>296</c:v>
                </c:pt>
                <c:pt idx="90">
                  <c:v>303</c:v>
                </c:pt>
                <c:pt idx="91">
                  <c:v>400</c:v>
                </c:pt>
                <c:pt idx="92">
                  <c:v>331</c:v>
                </c:pt>
                <c:pt idx="93">
                  <c:v>325</c:v>
                </c:pt>
                <c:pt idx="94">
                  <c:v>413</c:v>
                </c:pt>
                <c:pt idx="95">
                  <c:v>436</c:v>
                </c:pt>
                <c:pt idx="96">
                  <c:v>312</c:v>
                </c:pt>
                <c:pt idx="97">
                  <c:v>249</c:v>
                </c:pt>
                <c:pt idx="98">
                  <c:v>5</c:v>
                </c:pt>
                <c:pt idx="99">
                  <c:v>388</c:v>
                </c:pt>
                <c:pt idx="100">
                  <c:v>150</c:v>
                </c:pt>
                <c:pt idx="101">
                  <c:v>283</c:v>
                </c:pt>
                <c:pt idx="102">
                  <c:v>156</c:v>
                </c:pt>
                <c:pt idx="103">
                  <c:v>274</c:v>
                </c:pt>
                <c:pt idx="104">
                  <c:v>370</c:v>
                </c:pt>
                <c:pt idx="105">
                  <c:v>116</c:v>
                </c:pt>
                <c:pt idx="106">
                  <c:v>23</c:v>
                </c:pt>
                <c:pt idx="107">
                  <c:v>293</c:v>
                </c:pt>
                <c:pt idx="108">
                  <c:v>129</c:v>
                </c:pt>
                <c:pt idx="109">
                  <c:v>322</c:v>
                </c:pt>
                <c:pt idx="110">
                  <c:v>127</c:v>
                </c:pt>
                <c:pt idx="111">
                  <c:v>465</c:v>
                </c:pt>
                <c:pt idx="112">
                  <c:v>491</c:v>
                </c:pt>
                <c:pt idx="113">
                  <c:v>122</c:v>
                </c:pt>
                <c:pt idx="114">
                  <c:v>352</c:v>
                </c:pt>
                <c:pt idx="115">
                  <c:v>144</c:v>
                </c:pt>
                <c:pt idx="116">
                  <c:v>58</c:v>
                </c:pt>
                <c:pt idx="117">
                  <c:v>30</c:v>
                </c:pt>
                <c:pt idx="118">
                  <c:v>352</c:v>
                </c:pt>
                <c:pt idx="119">
                  <c:v>41</c:v>
                </c:pt>
              </c:numCache>
            </c:numRef>
          </c:val>
          <c:extLst>
            <c:ext xmlns:c16="http://schemas.microsoft.com/office/drawing/2014/chart" uri="{C3380CC4-5D6E-409C-BE32-E72D297353CC}">
              <c16:uniqueId val="{00000000-FB6E-4D67-8356-B88F9F599ED2}"/>
            </c:ext>
          </c:extLst>
        </c:ser>
        <c:ser>
          <c:idx val="1"/>
          <c:order val="1"/>
          <c:tx>
            <c:strRef>
              <c:f>'social media sentiment Project'!$K$5</c:f>
              <c:strCache>
                <c:ptCount val="1"/>
                <c:pt idx="0">
                  <c:v>Shares</c:v>
                </c:pt>
              </c:strCache>
            </c:strRef>
          </c:tx>
          <c:spPr>
            <a:solidFill>
              <a:schemeClr val="accent2"/>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Project'!$K$6:$K$125</c:f>
              <c:numCache>
                <c:formatCode>General</c:formatCode>
                <c:ptCount val="120"/>
                <c:pt idx="0">
                  <c:v>35</c:v>
                </c:pt>
                <c:pt idx="1">
                  <c:v>23</c:v>
                </c:pt>
                <c:pt idx="2">
                  <c:v>179</c:v>
                </c:pt>
                <c:pt idx="3">
                  <c:v>40</c:v>
                </c:pt>
                <c:pt idx="4">
                  <c:v>195</c:v>
                </c:pt>
                <c:pt idx="5">
                  <c:v>88</c:v>
                </c:pt>
                <c:pt idx="6">
                  <c:v>141</c:v>
                </c:pt>
                <c:pt idx="7">
                  <c:v>11</c:v>
                </c:pt>
                <c:pt idx="8">
                  <c:v>71</c:v>
                </c:pt>
                <c:pt idx="9">
                  <c:v>171</c:v>
                </c:pt>
                <c:pt idx="10">
                  <c:v>62</c:v>
                </c:pt>
                <c:pt idx="11">
                  <c:v>196</c:v>
                </c:pt>
                <c:pt idx="12">
                  <c:v>16</c:v>
                </c:pt>
                <c:pt idx="13">
                  <c:v>164</c:v>
                </c:pt>
                <c:pt idx="14">
                  <c:v>137</c:v>
                </c:pt>
                <c:pt idx="15">
                  <c:v>35</c:v>
                </c:pt>
                <c:pt idx="16">
                  <c:v>40</c:v>
                </c:pt>
                <c:pt idx="17">
                  <c:v>135</c:v>
                </c:pt>
                <c:pt idx="18">
                  <c:v>28</c:v>
                </c:pt>
                <c:pt idx="19">
                  <c:v>184</c:v>
                </c:pt>
                <c:pt idx="20">
                  <c:v>163</c:v>
                </c:pt>
                <c:pt idx="21">
                  <c:v>199</c:v>
                </c:pt>
                <c:pt idx="22">
                  <c:v>92</c:v>
                </c:pt>
                <c:pt idx="23">
                  <c:v>124</c:v>
                </c:pt>
                <c:pt idx="24">
                  <c:v>67</c:v>
                </c:pt>
                <c:pt idx="25">
                  <c:v>102</c:v>
                </c:pt>
                <c:pt idx="26">
                  <c:v>57</c:v>
                </c:pt>
                <c:pt idx="27">
                  <c:v>1</c:v>
                </c:pt>
                <c:pt idx="28">
                  <c:v>84</c:v>
                </c:pt>
                <c:pt idx="29">
                  <c:v>33</c:v>
                </c:pt>
                <c:pt idx="30">
                  <c:v>24</c:v>
                </c:pt>
                <c:pt idx="31">
                  <c:v>186</c:v>
                </c:pt>
                <c:pt idx="32">
                  <c:v>27</c:v>
                </c:pt>
                <c:pt idx="33">
                  <c:v>46</c:v>
                </c:pt>
                <c:pt idx="34">
                  <c:v>12</c:v>
                </c:pt>
                <c:pt idx="35">
                  <c:v>124</c:v>
                </c:pt>
                <c:pt idx="36">
                  <c:v>99</c:v>
                </c:pt>
                <c:pt idx="37">
                  <c:v>75</c:v>
                </c:pt>
                <c:pt idx="38">
                  <c:v>122</c:v>
                </c:pt>
                <c:pt idx="39">
                  <c:v>152</c:v>
                </c:pt>
                <c:pt idx="40">
                  <c:v>148</c:v>
                </c:pt>
                <c:pt idx="41">
                  <c:v>171</c:v>
                </c:pt>
                <c:pt idx="42">
                  <c:v>165</c:v>
                </c:pt>
                <c:pt idx="43">
                  <c:v>144</c:v>
                </c:pt>
                <c:pt idx="44">
                  <c:v>89</c:v>
                </c:pt>
                <c:pt idx="45">
                  <c:v>139</c:v>
                </c:pt>
                <c:pt idx="46">
                  <c:v>34</c:v>
                </c:pt>
                <c:pt idx="47">
                  <c:v>154</c:v>
                </c:pt>
                <c:pt idx="48">
                  <c:v>64</c:v>
                </c:pt>
                <c:pt idx="49">
                  <c:v>197</c:v>
                </c:pt>
                <c:pt idx="50">
                  <c:v>109</c:v>
                </c:pt>
                <c:pt idx="51">
                  <c:v>94</c:v>
                </c:pt>
                <c:pt idx="52">
                  <c:v>93</c:v>
                </c:pt>
                <c:pt idx="53">
                  <c:v>143</c:v>
                </c:pt>
                <c:pt idx="54">
                  <c:v>105</c:v>
                </c:pt>
                <c:pt idx="55">
                  <c:v>179</c:v>
                </c:pt>
                <c:pt idx="56">
                  <c:v>117</c:v>
                </c:pt>
                <c:pt idx="57">
                  <c:v>102</c:v>
                </c:pt>
                <c:pt idx="58">
                  <c:v>102</c:v>
                </c:pt>
                <c:pt idx="59">
                  <c:v>148</c:v>
                </c:pt>
                <c:pt idx="60">
                  <c:v>80</c:v>
                </c:pt>
                <c:pt idx="61">
                  <c:v>181</c:v>
                </c:pt>
                <c:pt idx="62">
                  <c:v>170</c:v>
                </c:pt>
                <c:pt idx="63">
                  <c:v>170</c:v>
                </c:pt>
                <c:pt idx="64">
                  <c:v>170</c:v>
                </c:pt>
                <c:pt idx="65">
                  <c:v>0</c:v>
                </c:pt>
                <c:pt idx="66">
                  <c:v>113</c:v>
                </c:pt>
                <c:pt idx="67">
                  <c:v>169</c:v>
                </c:pt>
                <c:pt idx="68">
                  <c:v>57</c:v>
                </c:pt>
                <c:pt idx="69">
                  <c:v>196</c:v>
                </c:pt>
                <c:pt idx="70">
                  <c:v>98</c:v>
                </c:pt>
                <c:pt idx="71">
                  <c:v>108</c:v>
                </c:pt>
                <c:pt idx="72">
                  <c:v>34</c:v>
                </c:pt>
                <c:pt idx="73">
                  <c:v>40</c:v>
                </c:pt>
                <c:pt idx="74">
                  <c:v>196</c:v>
                </c:pt>
                <c:pt idx="75">
                  <c:v>182</c:v>
                </c:pt>
                <c:pt idx="76">
                  <c:v>35</c:v>
                </c:pt>
                <c:pt idx="77">
                  <c:v>104</c:v>
                </c:pt>
                <c:pt idx="78">
                  <c:v>107</c:v>
                </c:pt>
                <c:pt idx="79">
                  <c:v>90</c:v>
                </c:pt>
                <c:pt idx="80">
                  <c:v>69</c:v>
                </c:pt>
                <c:pt idx="81">
                  <c:v>103</c:v>
                </c:pt>
                <c:pt idx="82">
                  <c:v>144</c:v>
                </c:pt>
                <c:pt idx="83">
                  <c:v>12</c:v>
                </c:pt>
                <c:pt idx="84">
                  <c:v>194</c:v>
                </c:pt>
                <c:pt idx="85">
                  <c:v>191</c:v>
                </c:pt>
                <c:pt idx="86">
                  <c:v>193</c:v>
                </c:pt>
                <c:pt idx="87">
                  <c:v>121</c:v>
                </c:pt>
                <c:pt idx="88">
                  <c:v>155</c:v>
                </c:pt>
                <c:pt idx="89">
                  <c:v>6</c:v>
                </c:pt>
                <c:pt idx="90">
                  <c:v>176</c:v>
                </c:pt>
                <c:pt idx="91">
                  <c:v>10</c:v>
                </c:pt>
                <c:pt idx="92">
                  <c:v>87</c:v>
                </c:pt>
                <c:pt idx="93">
                  <c:v>117</c:v>
                </c:pt>
                <c:pt idx="94">
                  <c:v>137</c:v>
                </c:pt>
                <c:pt idx="95">
                  <c:v>62</c:v>
                </c:pt>
                <c:pt idx="96">
                  <c:v>171</c:v>
                </c:pt>
                <c:pt idx="97">
                  <c:v>54</c:v>
                </c:pt>
                <c:pt idx="98">
                  <c:v>132</c:v>
                </c:pt>
                <c:pt idx="99">
                  <c:v>61</c:v>
                </c:pt>
                <c:pt idx="100">
                  <c:v>56</c:v>
                </c:pt>
                <c:pt idx="101">
                  <c:v>135</c:v>
                </c:pt>
                <c:pt idx="102">
                  <c:v>64</c:v>
                </c:pt>
                <c:pt idx="103">
                  <c:v>195</c:v>
                </c:pt>
                <c:pt idx="104">
                  <c:v>150</c:v>
                </c:pt>
                <c:pt idx="105">
                  <c:v>92</c:v>
                </c:pt>
                <c:pt idx="106">
                  <c:v>13</c:v>
                </c:pt>
                <c:pt idx="107">
                  <c:v>72</c:v>
                </c:pt>
                <c:pt idx="108">
                  <c:v>122</c:v>
                </c:pt>
                <c:pt idx="109">
                  <c:v>175</c:v>
                </c:pt>
                <c:pt idx="110">
                  <c:v>30</c:v>
                </c:pt>
                <c:pt idx="111">
                  <c:v>113</c:v>
                </c:pt>
                <c:pt idx="112">
                  <c:v>189</c:v>
                </c:pt>
                <c:pt idx="113">
                  <c:v>44</c:v>
                </c:pt>
                <c:pt idx="114">
                  <c:v>152</c:v>
                </c:pt>
                <c:pt idx="115">
                  <c:v>179</c:v>
                </c:pt>
                <c:pt idx="116">
                  <c:v>139</c:v>
                </c:pt>
                <c:pt idx="117">
                  <c:v>42</c:v>
                </c:pt>
                <c:pt idx="118">
                  <c:v>77</c:v>
                </c:pt>
                <c:pt idx="119">
                  <c:v>153</c:v>
                </c:pt>
              </c:numCache>
            </c:numRef>
          </c:val>
          <c:extLst>
            <c:ext xmlns:c16="http://schemas.microsoft.com/office/drawing/2014/chart" uri="{C3380CC4-5D6E-409C-BE32-E72D297353CC}">
              <c16:uniqueId val="{00000001-FB6E-4D67-8356-B88F9F599ED2}"/>
            </c:ext>
          </c:extLst>
        </c:ser>
        <c:ser>
          <c:idx val="2"/>
          <c:order val="2"/>
          <c:tx>
            <c:strRef>
              <c:f>'social media sentiment Project'!$L$5</c:f>
              <c:strCache>
                <c:ptCount val="1"/>
                <c:pt idx="0">
                  <c:v>Comment_Count</c:v>
                </c:pt>
              </c:strCache>
            </c:strRef>
          </c:tx>
          <c:spPr>
            <a:solidFill>
              <a:schemeClr val="accent3"/>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Project'!$L$6:$L$125</c:f>
              <c:numCache>
                <c:formatCode>General</c:formatCode>
                <c:ptCount val="120"/>
                <c:pt idx="0">
                  <c:v>94</c:v>
                </c:pt>
                <c:pt idx="1">
                  <c:v>27</c:v>
                </c:pt>
                <c:pt idx="2">
                  <c:v>69</c:v>
                </c:pt>
                <c:pt idx="3">
                  <c:v>89</c:v>
                </c:pt>
                <c:pt idx="4">
                  <c:v>43</c:v>
                </c:pt>
                <c:pt idx="5">
                  <c:v>77</c:v>
                </c:pt>
                <c:pt idx="6">
                  <c:v>37</c:v>
                </c:pt>
                <c:pt idx="7">
                  <c:v>84</c:v>
                </c:pt>
                <c:pt idx="8">
                  <c:v>58</c:v>
                </c:pt>
                <c:pt idx="9">
                  <c:v>34</c:v>
                </c:pt>
                <c:pt idx="10">
                  <c:v>20</c:v>
                </c:pt>
                <c:pt idx="11">
                  <c:v>99</c:v>
                </c:pt>
                <c:pt idx="12">
                  <c:v>27</c:v>
                </c:pt>
                <c:pt idx="13">
                  <c:v>58</c:v>
                </c:pt>
                <c:pt idx="14">
                  <c:v>33</c:v>
                </c:pt>
                <c:pt idx="15">
                  <c:v>65</c:v>
                </c:pt>
                <c:pt idx="16">
                  <c:v>87</c:v>
                </c:pt>
                <c:pt idx="17">
                  <c:v>32</c:v>
                </c:pt>
                <c:pt idx="18">
                  <c:v>37</c:v>
                </c:pt>
                <c:pt idx="19">
                  <c:v>33</c:v>
                </c:pt>
                <c:pt idx="20">
                  <c:v>64</c:v>
                </c:pt>
                <c:pt idx="21">
                  <c:v>67</c:v>
                </c:pt>
                <c:pt idx="22">
                  <c:v>39</c:v>
                </c:pt>
                <c:pt idx="23">
                  <c:v>8</c:v>
                </c:pt>
                <c:pt idx="24">
                  <c:v>67</c:v>
                </c:pt>
                <c:pt idx="25">
                  <c:v>85</c:v>
                </c:pt>
                <c:pt idx="26">
                  <c:v>8</c:v>
                </c:pt>
                <c:pt idx="27">
                  <c:v>9</c:v>
                </c:pt>
                <c:pt idx="28">
                  <c:v>9</c:v>
                </c:pt>
                <c:pt idx="29">
                  <c:v>92</c:v>
                </c:pt>
                <c:pt idx="30">
                  <c:v>12</c:v>
                </c:pt>
                <c:pt idx="31">
                  <c:v>6</c:v>
                </c:pt>
                <c:pt idx="32">
                  <c:v>31</c:v>
                </c:pt>
                <c:pt idx="33">
                  <c:v>35</c:v>
                </c:pt>
                <c:pt idx="34">
                  <c:v>83</c:v>
                </c:pt>
                <c:pt idx="35">
                  <c:v>61</c:v>
                </c:pt>
                <c:pt idx="36">
                  <c:v>33</c:v>
                </c:pt>
                <c:pt idx="37">
                  <c:v>27</c:v>
                </c:pt>
                <c:pt idx="38">
                  <c:v>64</c:v>
                </c:pt>
                <c:pt idx="39">
                  <c:v>8</c:v>
                </c:pt>
                <c:pt idx="40">
                  <c:v>76</c:v>
                </c:pt>
                <c:pt idx="41">
                  <c:v>91</c:v>
                </c:pt>
                <c:pt idx="42">
                  <c:v>38</c:v>
                </c:pt>
                <c:pt idx="43">
                  <c:v>12</c:v>
                </c:pt>
                <c:pt idx="44">
                  <c:v>8</c:v>
                </c:pt>
                <c:pt idx="45">
                  <c:v>90</c:v>
                </c:pt>
                <c:pt idx="46">
                  <c:v>33</c:v>
                </c:pt>
                <c:pt idx="47">
                  <c:v>26</c:v>
                </c:pt>
                <c:pt idx="48">
                  <c:v>6</c:v>
                </c:pt>
                <c:pt idx="49">
                  <c:v>16</c:v>
                </c:pt>
                <c:pt idx="50">
                  <c:v>71</c:v>
                </c:pt>
                <c:pt idx="51">
                  <c:v>74</c:v>
                </c:pt>
                <c:pt idx="52">
                  <c:v>5</c:v>
                </c:pt>
                <c:pt idx="53">
                  <c:v>52</c:v>
                </c:pt>
                <c:pt idx="54">
                  <c:v>3</c:v>
                </c:pt>
                <c:pt idx="55">
                  <c:v>13</c:v>
                </c:pt>
                <c:pt idx="56">
                  <c:v>44</c:v>
                </c:pt>
                <c:pt idx="57">
                  <c:v>42</c:v>
                </c:pt>
                <c:pt idx="58">
                  <c:v>86</c:v>
                </c:pt>
                <c:pt idx="59">
                  <c:v>33</c:v>
                </c:pt>
                <c:pt idx="60">
                  <c:v>55</c:v>
                </c:pt>
                <c:pt idx="61">
                  <c:v>55</c:v>
                </c:pt>
                <c:pt idx="62">
                  <c:v>42</c:v>
                </c:pt>
                <c:pt idx="63">
                  <c:v>52</c:v>
                </c:pt>
                <c:pt idx="64">
                  <c:v>48</c:v>
                </c:pt>
                <c:pt idx="65">
                  <c:v>38</c:v>
                </c:pt>
                <c:pt idx="66">
                  <c:v>86</c:v>
                </c:pt>
                <c:pt idx="67">
                  <c:v>81</c:v>
                </c:pt>
                <c:pt idx="68">
                  <c:v>25</c:v>
                </c:pt>
                <c:pt idx="69">
                  <c:v>9</c:v>
                </c:pt>
                <c:pt idx="70">
                  <c:v>63</c:v>
                </c:pt>
                <c:pt idx="71">
                  <c:v>28</c:v>
                </c:pt>
                <c:pt idx="72">
                  <c:v>59</c:v>
                </c:pt>
                <c:pt idx="73">
                  <c:v>95</c:v>
                </c:pt>
                <c:pt idx="74">
                  <c:v>99</c:v>
                </c:pt>
                <c:pt idx="75">
                  <c:v>36</c:v>
                </c:pt>
                <c:pt idx="76">
                  <c:v>19</c:v>
                </c:pt>
                <c:pt idx="77">
                  <c:v>42</c:v>
                </c:pt>
                <c:pt idx="78">
                  <c:v>49</c:v>
                </c:pt>
                <c:pt idx="79">
                  <c:v>38</c:v>
                </c:pt>
                <c:pt idx="80">
                  <c:v>55</c:v>
                </c:pt>
                <c:pt idx="81">
                  <c:v>92</c:v>
                </c:pt>
                <c:pt idx="82">
                  <c:v>84</c:v>
                </c:pt>
                <c:pt idx="83">
                  <c:v>33</c:v>
                </c:pt>
                <c:pt idx="84">
                  <c:v>48</c:v>
                </c:pt>
                <c:pt idx="85">
                  <c:v>69</c:v>
                </c:pt>
                <c:pt idx="86">
                  <c:v>3</c:v>
                </c:pt>
                <c:pt idx="87">
                  <c:v>85</c:v>
                </c:pt>
                <c:pt idx="88">
                  <c:v>77</c:v>
                </c:pt>
                <c:pt idx="89">
                  <c:v>39</c:v>
                </c:pt>
                <c:pt idx="90">
                  <c:v>80</c:v>
                </c:pt>
                <c:pt idx="91">
                  <c:v>44</c:v>
                </c:pt>
                <c:pt idx="92">
                  <c:v>1</c:v>
                </c:pt>
                <c:pt idx="93">
                  <c:v>90</c:v>
                </c:pt>
                <c:pt idx="94">
                  <c:v>99</c:v>
                </c:pt>
                <c:pt idx="95">
                  <c:v>11</c:v>
                </c:pt>
                <c:pt idx="96">
                  <c:v>48</c:v>
                </c:pt>
                <c:pt idx="97">
                  <c:v>45</c:v>
                </c:pt>
                <c:pt idx="98">
                  <c:v>24</c:v>
                </c:pt>
                <c:pt idx="99">
                  <c:v>88</c:v>
                </c:pt>
                <c:pt idx="100">
                  <c:v>51</c:v>
                </c:pt>
                <c:pt idx="101">
                  <c:v>44</c:v>
                </c:pt>
                <c:pt idx="102">
                  <c:v>29</c:v>
                </c:pt>
                <c:pt idx="103">
                  <c:v>88</c:v>
                </c:pt>
                <c:pt idx="104">
                  <c:v>97</c:v>
                </c:pt>
                <c:pt idx="105">
                  <c:v>22</c:v>
                </c:pt>
                <c:pt idx="106">
                  <c:v>70</c:v>
                </c:pt>
                <c:pt idx="107">
                  <c:v>60</c:v>
                </c:pt>
                <c:pt idx="108">
                  <c:v>14</c:v>
                </c:pt>
                <c:pt idx="109">
                  <c:v>6</c:v>
                </c:pt>
                <c:pt idx="110">
                  <c:v>71</c:v>
                </c:pt>
                <c:pt idx="111">
                  <c:v>38</c:v>
                </c:pt>
                <c:pt idx="112">
                  <c:v>12</c:v>
                </c:pt>
                <c:pt idx="113">
                  <c:v>70</c:v>
                </c:pt>
                <c:pt idx="114">
                  <c:v>60</c:v>
                </c:pt>
                <c:pt idx="115">
                  <c:v>58</c:v>
                </c:pt>
                <c:pt idx="116">
                  <c:v>28</c:v>
                </c:pt>
                <c:pt idx="117">
                  <c:v>39</c:v>
                </c:pt>
                <c:pt idx="118">
                  <c:v>89</c:v>
                </c:pt>
                <c:pt idx="119">
                  <c:v>5</c:v>
                </c:pt>
              </c:numCache>
            </c:numRef>
          </c:val>
          <c:extLst>
            <c:ext xmlns:c16="http://schemas.microsoft.com/office/drawing/2014/chart" uri="{C3380CC4-5D6E-409C-BE32-E72D297353CC}">
              <c16:uniqueId val="{00000002-FB6E-4D67-8356-B88F9F599ED2}"/>
            </c:ext>
          </c:extLst>
        </c:ser>
        <c:dLbls>
          <c:showLegendKey val="0"/>
          <c:showVal val="0"/>
          <c:showCatName val="0"/>
          <c:showSerName val="0"/>
          <c:showPercent val="0"/>
          <c:showBubbleSize val="0"/>
        </c:dLbls>
        <c:gapWidth val="219"/>
        <c:overlap val="-27"/>
        <c:axId val="318024168"/>
        <c:axId val="318026792"/>
      </c:barChart>
      <c:catAx>
        <c:axId val="318024168"/>
        <c:scaling>
          <c:orientation val="minMax"/>
        </c:scaling>
        <c:delete val="1"/>
        <c:axPos val="b"/>
        <c:numFmt formatCode="General" sourceLinked="1"/>
        <c:majorTickMark val="none"/>
        <c:minorTickMark val="none"/>
        <c:tickLblPos val="nextTo"/>
        <c:crossAx val="318026792"/>
        <c:crosses val="autoZero"/>
        <c:auto val="1"/>
        <c:lblAlgn val="ctr"/>
        <c:lblOffset val="100"/>
        <c:noMultiLvlLbl val="0"/>
      </c:catAx>
      <c:valAx>
        <c:axId val="318026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24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[dashboard.xlsx]sentiment distribution!PivotTable5</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tx1"/>
            </a:solidFill>
          </a:ln>
          <a:effectLst/>
        </c:spPr>
        <c:marker>
          <c:symbol val="none"/>
        </c:marker>
      </c:pivotFmt>
      <c:pivotFmt>
        <c:idx val="6"/>
        <c:spPr>
          <a:solidFill>
            <a:schemeClr val="accent1"/>
          </a:solidFill>
          <a:ln w="19050">
            <a:solidFill>
              <a:schemeClr val="tx1"/>
            </a:solidFill>
          </a:ln>
          <a:effectLst/>
        </c:spPr>
      </c:pivotFmt>
      <c:pivotFmt>
        <c:idx val="7"/>
        <c:spPr>
          <a:solidFill>
            <a:schemeClr val="accent1"/>
          </a:solidFill>
          <a:ln w="19050">
            <a:solidFill>
              <a:schemeClr val="tx1"/>
            </a:solidFill>
          </a:ln>
          <a:effectLst/>
        </c:spPr>
      </c:pivotFmt>
      <c:pivotFmt>
        <c:idx val="8"/>
        <c:spPr>
          <a:solidFill>
            <a:schemeClr val="accent1"/>
          </a:solidFill>
          <a:ln w="19050">
            <a:solidFill>
              <a:schemeClr val="tx1"/>
            </a:solidFill>
          </a:ln>
          <a:effectLst/>
        </c:spPr>
      </c:pivotFmt>
    </c:pivotFmts>
    <c:plotArea>
      <c:layout/>
      <c:pieChart>
        <c:varyColors val="1"/>
        <c:ser>
          <c:idx val="0"/>
          <c:order val="0"/>
          <c:tx>
            <c:strRef>
              <c:f>'sentiment distribution'!$B$3</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4521-496B-83B0-23EFAD4740B9}"/>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4521-496B-83B0-23EFAD4740B9}"/>
              </c:ext>
            </c:extLst>
          </c:dPt>
          <c:dPt>
            <c:idx val="2"/>
            <c:bubble3D val="0"/>
            <c:spPr>
              <a:solidFill>
                <a:schemeClr val="accent3"/>
              </a:solidFill>
              <a:ln w="19050">
                <a:solidFill>
                  <a:schemeClr val="tx1"/>
                </a:solidFill>
              </a:ln>
              <a:effectLst/>
            </c:spPr>
            <c:extLst>
              <c:ext xmlns:c16="http://schemas.microsoft.com/office/drawing/2014/chart" uri="{C3380CC4-5D6E-409C-BE32-E72D297353CC}">
                <c16:uniqueId val="{00000005-4521-496B-83B0-23EFAD4740B9}"/>
              </c:ext>
            </c:extLst>
          </c:dPt>
          <c:cat>
            <c:strRef>
              <c:f>'sentiment distribution'!$A$4:$A$7</c:f>
              <c:strCache>
                <c:ptCount val="3"/>
                <c:pt idx="0">
                  <c:v>Negative</c:v>
                </c:pt>
                <c:pt idx="1">
                  <c:v>Neutral</c:v>
                </c:pt>
                <c:pt idx="2">
                  <c:v>Positive</c:v>
                </c:pt>
              </c:strCache>
            </c:strRef>
          </c:cat>
          <c:val>
            <c:numRef>
              <c:f>'sentiment distribution'!$B$4:$B$7</c:f>
              <c:numCache>
                <c:formatCode>General</c:formatCode>
                <c:ptCount val="3"/>
                <c:pt idx="0">
                  <c:v>39</c:v>
                </c:pt>
                <c:pt idx="1">
                  <c:v>41</c:v>
                </c:pt>
                <c:pt idx="2">
                  <c:v>40</c:v>
                </c:pt>
              </c:numCache>
            </c:numRef>
          </c:val>
          <c:extLst>
            <c:ext xmlns:c16="http://schemas.microsoft.com/office/drawing/2014/chart" uri="{C3380CC4-5D6E-409C-BE32-E72D297353CC}">
              <c16:uniqueId val="{00000006-4521-496B-83B0-23EFAD4740B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Tranding Topics!PivotTable4</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ysClr val="windowText" lastClr="000000"/>
            </a:solidFill>
          </a:ln>
          <a:effectLst/>
        </c:spPr>
        <c:marker>
          <c:symbol val="none"/>
        </c:marker>
      </c:pivotFmt>
    </c:pivotFmts>
    <c:plotArea>
      <c:layout/>
      <c:barChart>
        <c:barDir val="bar"/>
        <c:grouping val="clustered"/>
        <c:varyColors val="0"/>
        <c:ser>
          <c:idx val="0"/>
          <c:order val="0"/>
          <c:tx>
            <c:strRef>
              <c:f>' Tranding Topics'!$B$3</c:f>
              <c:strCache>
                <c:ptCount val="1"/>
                <c:pt idx="0">
                  <c:v>Total</c:v>
                </c:pt>
              </c:strCache>
            </c:strRef>
          </c:tx>
          <c:spPr>
            <a:solidFill>
              <a:schemeClr val="accent1"/>
            </a:solidFill>
            <a:ln>
              <a:solidFill>
                <a:sysClr val="windowText" lastClr="000000"/>
              </a:solidFill>
            </a:ln>
            <a:effectLst/>
          </c:spPr>
          <c:invertIfNegative val="0"/>
          <c:cat>
            <c:strRef>
              <c:f>' Tranding Topics'!$A$4:$A$10</c:f>
              <c:strCache>
                <c:ptCount val="6"/>
                <c:pt idx="0">
                  <c:v>AI</c:v>
                </c:pt>
                <c:pt idx="1">
                  <c:v>E-commerce</c:v>
                </c:pt>
                <c:pt idx="2">
                  <c:v>Education</c:v>
                </c:pt>
                <c:pt idx="3">
                  <c:v>Healthcare</c:v>
                </c:pt>
                <c:pt idx="4">
                  <c:v>Sports</c:v>
                </c:pt>
                <c:pt idx="5">
                  <c:v>Technology</c:v>
                </c:pt>
              </c:strCache>
            </c:strRef>
          </c:cat>
          <c:val>
            <c:numRef>
              <c:f>' Tranding Topics'!$B$4:$B$10</c:f>
              <c:numCache>
                <c:formatCode>General</c:formatCode>
                <c:ptCount val="6"/>
                <c:pt idx="0">
                  <c:v>21</c:v>
                </c:pt>
                <c:pt idx="1">
                  <c:v>18</c:v>
                </c:pt>
                <c:pt idx="2">
                  <c:v>19</c:v>
                </c:pt>
                <c:pt idx="3">
                  <c:v>23</c:v>
                </c:pt>
                <c:pt idx="4">
                  <c:v>20</c:v>
                </c:pt>
                <c:pt idx="5">
                  <c:v>19</c:v>
                </c:pt>
              </c:numCache>
            </c:numRef>
          </c:val>
          <c:extLst>
            <c:ext xmlns:c16="http://schemas.microsoft.com/office/drawing/2014/chart" uri="{C3380CC4-5D6E-409C-BE32-E72D297353CC}">
              <c16:uniqueId val="{00000000-8215-4E58-924A-06E06FAAB636}"/>
            </c:ext>
          </c:extLst>
        </c:ser>
        <c:dLbls>
          <c:showLegendKey val="0"/>
          <c:showVal val="0"/>
          <c:showCatName val="0"/>
          <c:showSerName val="0"/>
          <c:showPercent val="0"/>
          <c:showBubbleSize val="0"/>
        </c:dLbls>
        <c:gapWidth val="182"/>
        <c:axId val="406804520"/>
        <c:axId val="406807800"/>
      </c:barChart>
      <c:catAx>
        <c:axId val="406804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7800"/>
        <c:crosses val="autoZero"/>
        <c:auto val="1"/>
        <c:lblAlgn val="ctr"/>
        <c:lblOffset val="100"/>
        <c:noMultiLvlLbl val="0"/>
      </c:catAx>
      <c:valAx>
        <c:axId val="406807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04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Plateform Analysis!PivotTable3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pivotFmt>
      <c:pivotFmt>
        <c:idx val="1"/>
        <c:spPr>
          <a:solidFill>
            <a:schemeClr val="tx2">
              <a:lumMod val="75000"/>
            </a:schemeClr>
          </a:solidFill>
          <a:ln>
            <a:noFill/>
          </a:ln>
          <a:effectLst/>
        </c:spPr>
        <c:marker>
          <c:symbol val="none"/>
        </c:marker>
      </c:pivotFmt>
      <c:pivotFmt>
        <c:idx val="2"/>
        <c:spPr>
          <a:solidFill>
            <a:schemeClr val="tx2">
              <a:lumMod val="75000"/>
            </a:schemeClr>
          </a:solidFill>
          <a:ln>
            <a:solidFill>
              <a:sysClr val="windowText" lastClr="000000"/>
            </a:solidFill>
          </a:ln>
          <a:effectLst/>
        </c:spPr>
        <c:marker>
          <c:symbol val="none"/>
        </c:marker>
      </c:pivotFmt>
    </c:pivotFmts>
    <c:plotArea>
      <c:layout/>
      <c:barChart>
        <c:barDir val="col"/>
        <c:grouping val="clustered"/>
        <c:varyColors val="0"/>
        <c:ser>
          <c:idx val="0"/>
          <c:order val="0"/>
          <c:tx>
            <c:strRef>
              <c:f>' Plateform Analysis'!$B$3</c:f>
              <c:strCache>
                <c:ptCount val="1"/>
                <c:pt idx="0">
                  <c:v>Total</c:v>
                </c:pt>
              </c:strCache>
            </c:strRef>
          </c:tx>
          <c:spPr>
            <a:solidFill>
              <a:schemeClr val="tx2">
                <a:lumMod val="75000"/>
              </a:schemeClr>
            </a:solidFill>
            <a:ln>
              <a:solidFill>
                <a:sysClr val="windowText" lastClr="000000"/>
              </a:solidFill>
            </a:ln>
            <a:effectLst/>
          </c:spPr>
          <c:invertIfNegative val="0"/>
          <c:cat>
            <c:strRef>
              <c:f>' Plateform Analysis'!$A$4:$A$8</c:f>
              <c:strCache>
                <c:ptCount val="4"/>
                <c:pt idx="0">
                  <c:v>Facebook</c:v>
                </c:pt>
                <c:pt idx="1">
                  <c:v>Instagram</c:v>
                </c:pt>
                <c:pt idx="2">
                  <c:v>LinkedIn</c:v>
                </c:pt>
                <c:pt idx="3">
                  <c:v>Twitter</c:v>
                </c:pt>
              </c:strCache>
            </c:strRef>
          </c:cat>
          <c:val>
            <c:numRef>
              <c:f>' Plateform Analysis'!$B$4:$B$8</c:f>
              <c:numCache>
                <c:formatCode>General</c:formatCode>
                <c:ptCount val="4"/>
                <c:pt idx="0">
                  <c:v>26</c:v>
                </c:pt>
                <c:pt idx="1">
                  <c:v>35</c:v>
                </c:pt>
                <c:pt idx="2">
                  <c:v>28</c:v>
                </c:pt>
                <c:pt idx="3">
                  <c:v>31</c:v>
                </c:pt>
              </c:numCache>
            </c:numRef>
          </c:val>
          <c:extLst>
            <c:ext xmlns:c16="http://schemas.microsoft.com/office/drawing/2014/chart" uri="{C3380CC4-5D6E-409C-BE32-E72D297353CC}">
              <c16:uniqueId val="{00000000-2400-48DD-9AE5-9DFE04C56573}"/>
            </c:ext>
          </c:extLst>
        </c:ser>
        <c:dLbls>
          <c:showLegendKey val="0"/>
          <c:showVal val="0"/>
          <c:showCatName val="0"/>
          <c:showSerName val="0"/>
          <c:showPercent val="0"/>
          <c:showBubbleSize val="0"/>
        </c:dLbls>
        <c:gapWidth val="219"/>
        <c:overlap val="-27"/>
        <c:axId val="406816656"/>
        <c:axId val="406815344"/>
      </c:barChart>
      <c:catAx>
        <c:axId val="4068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5344"/>
        <c:crosses val="autoZero"/>
        <c:auto val="1"/>
        <c:lblAlgn val="ctr"/>
        <c:lblOffset val="100"/>
        <c:noMultiLvlLbl val="0"/>
      </c:catAx>
      <c:valAx>
        <c:axId val="4068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6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Monthly Activity!PivotTable1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2"/>
        <c:spPr>
          <a:ln w="28575" cap="rnd">
            <a:solidFill>
              <a:sysClr val="windowText" lastClr="000000"/>
            </a:solidFill>
            <a:round/>
          </a:ln>
          <a:effectLst/>
        </c:spPr>
        <c:marker>
          <c:symbol val="circle"/>
          <c:size val="5"/>
          <c:spPr>
            <a:solidFill>
              <a:schemeClr val="accent2"/>
            </a:solidFill>
            <a:ln w="9525">
              <a:solidFill>
                <a:sysClr val="windowText" lastClr="000000"/>
              </a:solidFill>
            </a:ln>
            <a:effectLst/>
          </c:spPr>
        </c:marker>
      </c:pivotFmt>
    </c:pivotFmts>
    <c:plotArea>
      <c:layout/>
      <c:lineChart>
        <c:grouping val="stacked"/>
        <c:varyColors val="0"/>
        <c:ser>
          <c:idx val="0"/>
          <c:order val="0"/>
          <c:tx>
            <c:strRef>
              <c:f>' Monthly Activity'!$B$3</c:f>
              <c:strCache>
                <c:ptCount val="1"/>
                <c:pt idx="0">
                  <c:v>Total</c:v>
                </c:pt>
              </c:strCache>
            </c:strRef>
          </c:tx>
          <c:spPr>
            <a:ln w="28575" cap="rnd">
              <a:solidFill>
                <a:sysClr val="windowText" lastClr="000000"/>
              </a:solidFill>
              <a:round/>
            </a:ln>
            <a:effectLst/>
          </c:spPr>
          <c:marker>
            <c:symbol val="circle"/>
            <c:size val="5"/>
            <c:spPr>
              <a:solidFill>
                <a:schemeClr val="accent2"/>
              </a:solidFill>
              <a:ln w="9525">
                <a:solidFill>
                  <a:sysClr val="windowText" lastClr="000000"/>
                </a:solidFill>
              </a:ln>
              <a:effectLst/>
            </c:spPr>
          </c:marker>
          <c:cat>
            <c:strRef>
              <c:f>' Monthly Activity'!$A$4:$A$8</c:f>
              <c:strCache>
                <c:ptCount val="4"/>
                <c:pt idx="0">
                  <c:v>Jan</c:v>
                </c:pt>
                <c:pt idx="1">
                  <c:v>Feb</c:v>
                </c:pt>
                <c:pt idx="2">
                  <c:v>Mar</c:v>
                </c:pt>
                <c:pt idx="3">
                  <c:v>Apr</c:v>
                </c:pt>
              </c:strCache>
            </c:strRef>
          </c:cat>
          <c:val>
            <c:numRef>
              <c:f>' Monthly Activity'!$B$4:$B$8</c:f>
              <c:numCache>
                <c:formatCode>General</c:formatCode>
                <c:ptCount val="4"/>
                <c:pt idx="0">
                  <c:v>31</c:v>
                </c:pt>
                <c:pt idx="1">
                  <c:v>28</c:v>
                </c:pt>
                <c:pt idx="2">
                  <c:v>31</c:v>
                </c:pt>
                <c:pt idx="3">
                  <c:v>30</c:v>
                </c:pt>
              </c:numCache>
            </c:numRef>
          </c:val>
          <c:smooth val="0"/>
          <c:extLst>
            <c:ext xmlns:c16="http://schemas.microsoft.com/office/drawing/2014/chart" uri="{C3380CC4-5D6E-409C-BE32-E72D297353CC}">
              <c16:uniqueId val="{00000000-57F5-4456-9BCD-ECCA80D3A052}"/>
            </c:ext>
          </c:extLst>
        </c:ser>
        <c:dLbls>
          <c:showLegendKey val="0"/>
          <c:showVal val="0"/>
          <c:showCatName val="0"/>
          <c:showSerName val="0"/>
          <c:showPercent val="0"/>
          <c:showBubbleSize val="0"/>
        </c:dLbls>
        <c:marker val="1"/>
        <c:smooth val="0"/>
        <c:axId val="406840272"/>
        <c:axId val="406840600"/>
      </c:lineChart>
      <c:catAx>
        <c:axId val="4068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600"/>
        <c:crosses val="autoZero"/>
        <c:auto val="1"/>
        <c:lblAlgn val="ctr"/>
        <c:lblOffset val="100"/>
        <c:noMultiLvlLbl val="0"/>
      </c:catAx>
      <c:valAx>
        <c:axId val="40684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40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 Likes by Topic!PivotTable2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ysClr val="windowText" lastClr="000000"/>
            </a:solidFill>
          </a:ln>
          <a:effectLst/>
        </c:spPr>
        <c:marker>
          <c:symbol val="none"/>
        </c:marker>
      </c:pivotFmt>
      <c:pivotFmt>
        <c:idx val="9"/>
        <c:spPr>
          <a:solidFill>
            <a:schemeClr val="accent1"/>
          </a:solidFill>
          <a:ln w="19050">
            <a:solidFill>
              <a:sysClr val="windowText" lastClr="000000"/>
            </a:solidFill>
          </a:ln>
          <a:effectLst/>
        </c:spPr>
      </c:pivotFmt>
      <c:pivotFmt>
        <c:idx val="10"/>
        <c:spPr>
          <a:solidFill>
            <a:schemeClr val="accent1"/>
          </a:solidFill>
          <a:ln w="19050">
            <a:solidFill>
              <a:sysClr val="windowText" lastClr="000000"/>
            </a:solidFill>
          </a:ln>
          <a:effectLst/>
        </c:spPr>
      </c:pivotFmt>
      <c:pivotFmt>
        <c:idx val="11"/>
        <c:spPr>
          <a:solidFill>
            <a:schemeClr val="accent1"/>
          </a:solidFill>
          <a:ln w="19050">
            <a:solidFill>
              <a:sysClr val="windowText" lastClr="000000"/>
            </a:solidFill>
          </a:ln>
          <a:effectLst/>
        </c:spPr>
      </c:pivotFmt>
      <c:pivotFmt>
        <c:idx val="12"/>
        <c:spPr>
          <a:solidFill>
            <a:schemeClr val="accent1"/>
          </a:solidFill>
          <a:ln w="19050">
            <a:solidFill>
              <a:sysClr val="windowText" lastClr="000000"/>
            </a:solidFill>
          </a:ln>
          <a:effectLst/>
        </c:spPr>
      </c:pivotFmt>
      <c:pivotFmt>
        <c:idx val="13"/>
        <c:spPr>
          <a:solidFill>
            <a:schemeClr val="accent1"/>
          </a:solidFill>
          <a:ln w="19050">
            <a:solidFill>
              <a:sysClr val="windowText" lastClr="000000"/>
            </a:solidFill>
          </a:ln>
          <a:effectLst/>
        </c:spPr>
      </c:pivotFmt>
      <c:pivotFmt>
        <c:idx val="14"/>
        <c:spPr>
          <a:solidFill>
            <a:schemeClr val="accent1"/>
          </a:solidFill>
          <a:ln w="19050">
            <a:solidFill>
              <a:sysClr val="windowText" lastClr="000000"/>
            </a:solidFill>
          </a:ln>
          <a:effectLst/>
        </c:spPr>
      </c:pivotFmt>
    </c:pivotFmts>
    <c:plotArea>
      <c:layout/>
      <c:pieChart>
        <c:varyColors val="1"/>
        <c:ser>
          <c:idx val="0"/>
          <c:order val="0"/>
          <c:tx>
            <c:strRef>
              <c:f>' Likes by Topic'!$B$3</c:f>
              <c:strCache>
                <c:ptCount val="1"/>
                <c:pt idx="0">
                  <c:v>Total</c:v>
                </c:pt>
              </c:strCache>
            </c:strRef>
          </c:tx>
          <c:spPr>
            <a:ln>
              <a:solidFill>
                <a:sysClr val="windowText" lastClr="000000"/>
              </a:solidFill>
            </a:ln>
          </c:spPr>
          <c:dPt>
            <c:idx val="0"/>
            <c:bubble3D val="0"/>
            <c:spPr>
              <a:solidFill>
                <a:schemeClr val="accent1"/>
              </a:solidFill>
              <a:ln w="19050">
                <a:solidFill>
                  <a:sysClr val="windowText" lastClr="000000"/>
                </a:solidFill>
              </a:ln>
              <a:effectLst/>
            </c:spPr>
            <c:extLst>
              <c:ext xmlns:c16="http://schemas.microsoft.com/office/drawing/2014/chart" uri="{C3380CC4-5D6E-409C-BE32-E72D297353CC}">
                <c16:uniqueId val="{00000001-C316-4957-8F24-EE5E4CFB4E21}"/>
              </c:ext>
            </c:extLst>
          </c:dPt>
          <c:dPt>
            <c:idx val="1"/>
            <c:bubble3D val="0"/>
            <c:spPr>
              <a:solidFill>
                <a:schemeClr val="accent2"/>
              </a:solidFill>
              <a:ln w="19050">
                <a:solidFill>
                  <a:sysClr val="windowText" lastClr="000000"/>
                </a:solidFill>
              </a:ln>
              <a:effectLst/>
            </c:spPr>
            <c:extLst>
              <c:ext xmlns:c16="http://schemas.microsoft.com/office/drawing/2014/chart" uri="{C3380CC4-5D6E-409C-BE32-E72D297353CC}">
                <c16:uniqueId val="{00000003-C316-4957-8F24-EE5E4CFB4E21}"/>
              </c:ext>
            </c:extLst>
          </c:dPt>
          <c:dPt>
            <c:idx val="2"/>
            <c:bubble3D val="0"/>
            <c:spPr>
              <a:solidFill>
                <a:schemeClr val="accent3"/>
              </a:solidFill>
              <a:ln w="19050">
                <a:solidFill>
                  <a:sysClr val="windowText" lastClr="000000"/>
                </a:solidFill>
              </a:ln>
              <a:effectLst/>
            </c:spPr>
            <c:extLst>
              <c:ext xmlns:c16="http://schemas.microsoft.com/office/drawing/2014/chart" uri="{C3380CC4-5D6E-409C-BE32-E72D297353CC}">
                <c16:uniqueId val="{00000005-C316-4957-8F24-EE5E4CFB4E21}"/>
              </c:ext>
            </c:extLst>
          </c:dPt>
          <c:dPt>
            <c:idx val="3"/>
            <c:bubble3D val="0"/>
            <c:spPr>
              <a:solidFill>
                <a:schemeClr val="accent4"/>
              </a:solidFill>
              <a:ln w="19050">
                <a:solidFill>
                  <a:sysClr val="windowText" lastClr="000000"/>
                </a:solidFill>
              </a:ln>
              <a:effectLst/>
            </c:spPr>
            <c:extLst>
              <c:ext xmlns:c16="http://schemas.microsoft.com/office/drawing/2014/chart" uri="{C3380CC4-5D6E-409C-BE32-E72D297353CC}">
                <c16:uniqueId val="{00000007-C316-4957-8F24-EE5E4CFB4E21}"/>
              </c:ext>
            </c:extLst>
          </c:dPt>
          <c:dPt>
            <c:idx val="4"/>
            <c:bubble3D val="0"/>
            <c:spPr>
              <a:solidFill>
                <a:schemeClr val="accent5"/>
              </a:solidFill>
              <a:ln w="19050">
                <a:solidFill>
                  <a:sysClr val="windowText" lastClr="000000"/>
                </a:solidFill>
              </a:ln>
              <a:effectLst/>
            </c:spPr>
            <c:extLst>
              <c:ext xmlns:c16="http://schemas.microsoft.com/office/drawing/2014/chart" uri="{C3380CC4-5D6E-409C-BE32-E72D297353CC}">
                <c16:uniqueId val="{00000009-C316-4957-8F24-EE5E4CFB4E21}"/>
              </c:ext>
            </c:extLst>
          </c:dPt>
          <c:dPt>
            <c:idx val="5"/>
            <c:bubble3D val="0"/>
            <c:spPr>
              <a:solidFill>
                <a:schemeClr val="accent6"/>
              </a:solidFill>
              <a:ln w="19050">
                <a:solidFill>
                  <a:sysClr val="windowText" lastClr="000000"/>
                </a:solidFill>
              </a:ln>
              <a:effectLst/>
            </c:spPr>
            <c:extLst>
              <c:ext xmlns:c16="http://schemas.microsoft.com/office/drawing/2014/chart" uri="{C3380CC4-5D6E-409C-BE32-E72D297353CC}">
                <c16:uniqueId val="{0000000B-C316-4957-8F24-EE5E4CFB4E21}"/>
              </c:ext>
            </c:extLst>
          </c:dPt>
          <c:cat>
            <c:strRef>
              <c:f>' Likes by Topic'!$A$4:$A$10</c:f>
              <c:strCache>
                <c:ptCount val="6"/>
                <c:pt idx="0">
                  <c:v>AI</c:v>
                </c:pt>
                <c:pt idx="1">
                  <c:v>E-commerce</c:v>
                </c:pt>
                <c:pt idx="2">
                  <c:v>Education</c:v>
                </c:pt>
                <c:pt idx="3">
                  <c:v>Healthcare</c:v>
                </c:pt>
                <c:pt idx="4">
                  <c:v>Sports</c:v>
                </c:pt>
                <c:pt idx="5">
                  <c:v>Technology</c:v>
                </c:pt>
              </c:strCache>
            </c:strRef>
          </c:cat>
          <c:val>
            <c:numRef>
              <c:f>' Likes by Topic'!$B$4:$B$10</c:f>
              <c:numCache>
                <c:formatCode>General</c:formatCode>
                <c:ptCount val="6"/>
                <c:pt idx="0">
                  <c:v>1274</c:v>
                </c:pt>
                <c:pt idx="1">
                  <c:v>867</c:v>
                </c:pt>
                <c:pt idx="2">
                  <c:v>1268</c:v>
                </c:pt>
                <c:pt idx="3">
                  <c:v>1602</c:v>
                </c:pt>
                <c:pt idx="4">
                  <c:v>1324</c:v>
                </c:pt>
                <c:pt idx="5">
                  <c:v>925</c:v>
                </c:pt>
              </c:numCache>
            </c:numRef>
          </c:val>
          <c:extLst>
            <c:ext xmlns:c16="http://schemas.microsoft.com/office/drawing/2014/chart" uri="{C3380CC4-5D6E-409C-BE32-E72D297353CC}">
              <c16:uniqueId val="{0000000C-C316-4957-8F24-EE5E4CFB4E2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'social media sentiment Project'!$J$5</c:f>
              <c:strCache>
                <c:ptCount val="1"/>
                <c:pt idx="0">
                  <c:v>Likes</c:v>
                </c:pt>
              </c:strCache>
            </c:strRef>
          </c:tx>
          <c:spPr>
            <a:solidFill>
              <a:schemeClr val="accent1"/>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Project'!$J$6:$J$125</c:f>
              <c:numCache>
                <c:formatCode>General</c:formatCode>
                <c:ptCount val="120"/>
                <c:pt idx="0">
                  <c:v>114</c:v>
                </c:pt>
                <c:pt idx="1">
                  <c:v>15</c:v>
                </c:pt>
                <c:pt idx="2">
                  <c:v>332</c:v>
                </c:pt>
                <c:pt idx="3">
                  <c:v>388</c:v>
                </c:pt>
                <c:pt idx="4">
                  <c:v>490</c:v>
                </c:pt>
                <c:pt idx="5">
                  <c:v>433</c:v>
                </c:pt>
                <c:pt idx="6">
                  <c:v>40</c:v>
                </c:pt>
                <c:pt idx="7">
                  <c:v>35</c:v>
                </c:pt>
                <c:pt idx="8">
                  <c:v>194</c:v>
                </c:pt>
                <c:pt idx="9">
                  <c:v>107</c:v>
                </c:pt>
                <c:pt idx="10">
                  <c:v>373</c:v>
                </c:pt>
                <c:pt idx="11">
                  <c:v>166</c:v>
                </c:pt>
                <c:pt idx="12">
                  <c:v>137</c:v>
                </c:pt>
                <c:pt idx="13">
                  <c:v>452</c:v>
                </c:pt>
                <c:pt idx="14">
                  <c:v>287</c:v>
                </c:pt>
                <c:pt idx="15">
                  <c:v>112</c:v>
                </c:pt>
                <c:pt idx="16">
                  <c:v>321</c:v>
                </c:pt>
                <c:pt idx="17">
                  <c:v>239</c:v>
                </c:pt>
                <c:pt idx="18">
                  <c:v>174</c:v>
                </c:pt>
                <c:pt idx="19">
                  <c:v>448</c:v>
                </c:pt>
                <c:pt idx="20">
                  <c:v>152</c:v>
                </c:pt>
                <c:pt idx="21">
                  <c:v>276</c:v>
                </c:pt>
                <c:pt idx="22">
                  <c:v>475</c:v>
                </c:pt>
                <c:pt idx="23">
                  <c:v>374</c:v>
                </c:pt>
                <c:pt idx="24">
                  <c:v>84</c:v>
                </c:pt>
                <c:pt idx="25">
                  <c:v>159</c:v>
                </c:pt>
                <c:pt idx="26">
                  <c:v>126</c:v>
                </c:pt>
                <c:pt idx="27">
                  <c:v>112</c:v>
                </c:pt>
                <c:pt idx="28">
                  <c:v>440</c:v>
                </c:pt>
                <c:pt idx="29">
                  <c:v>276</c:v>
                </c:pt>
                <c:pt idx="30">
                  <c:v>97</c:v>
                </c:pt>
                <c:pt idx="31">
                  <c:v>239</c:v>
                </c:pt>
                <c:pt idx="32">
                  <c:v>173</c:v>
                </c:pt>
                <c:pt idx="33">
                  <c:v>216</c:v>
                </c:pt>
                <c:pt idx="34">
                  <c:v>50</c:v>
                </c:pt>
                <c:pt idx="35">
                  <c:v>208</c:v>
                </c:pt>
                <c:pt idx="36">
                  <c:v>1</c:v>
                </c:pt>
                <c:pt idx="37">
                  <c:v>97</c:v>
                </c:pt>
                <c:pt idx="38">
                  <c:v>299</c:v>
                </c:pt>
                <c:pt idx="39">
                  <c:v>35</c:v>
                </c:pt>
                <c:pt idx="40">
                  <c:v>126</c:v>
                </c:pt>
                <c:pt idx="41">
                  <c:v>104</c:v>
                </c:pt>
                <c:pt idx="42">
                  <c:v>343</c:v>
                </c:pt>
                <c:pt idx="43">
                  <c:v>318</c:v>
                </c:pt>
                <c:pt idx="44">
                  <c:v>477</c:v>
                </c:pt>
                <c:pt idx="45">
                  <c:v>426</c:v>
                </c:pt>
                <c:pt idx="46">
                  <c:v>53</c:v>
                </c:pt>
                <c:pt idx="47">
                  <c:v>144</c:v>
                </c:pt>
                <c:pt idx="48">
                  <c:v>250</c:v>
                </c:pt>
                <c:pt idx="49">
                  <c:v>170</c:v>
                </c:pt>
                <c:pt idx="50">
                  <c:v>361</c:v>
                </c:pt>
                <c:pt idx="51">
                  <c:v>18</c:v>
                </c:pt>
                <c:pt idx="52">
                  <c:v>157</c:v>
                </c:pt>
                <c:pt idx="53">
                  <c:v>399</c:v>
                </c:pt>
                <c:pt idx="54">
                  <c:v>451</c:v>
                </c:pt>
                <c:pt idx="55">
                  <c:v>81</c:v>
                </c:pt>
                <c:pt idx="56">
                  <c:v>418</c:v>
                </c:pt>
                <c:pt idx="57">
                  <c:v>98</c:v>
                </c:pt>
                <c:pt idx="58">
                  <c:v>260</c:v>
                </c:pt>
                <c:pt idx="59">
                  <c:v>91</c:v>
                </c:pt>
                <c:pt idx="60">
                  <c:v>373</c:v>
                </c:pt>
                <c:pt idx="61">
                  <c:v>22</c:v>
                </c:pt>
                <c:pt idx="62">
                  <c:v>485</c:v>
                </c:pt>
                <c:pt idx="63">
                  <c:v>158</c:v>
                </c:pt>
                <c:pt idx="64">
                  <c:v>215</c:v>
                </c:pt>
                <c:pt idx="65">
                  <c:v>280</c:v>
                </c:pt>
                <c:pt idx="66">
                  <c:v>226</c:v>
                </c:pt>
                <c:pt idx="67">
                  <c:v>263</c:v>
                </c:pt>
                <c:pt idx="68">
                  <c:v>158</c:v>
                </c:pt>
                <c:pt idx="69">
                  <c:v>312</c:v>
                </c:pt>
                <c:pt idx="70">
                  <c:v>356</c:v>
                </c:pt>
                <c:pt idx="71">
                  <c:v>398</c:v>
                </c:pt>
                <c:pt idx="72">
                  <c:v>233</c:v>
                </c:pt>
                <c:pt idx="73">
                  <c:v>228</c:v>
                </c:pt>
                <c:pt idx="74">
                  <c:v>141</c:v>
                </c:pt>
                <c:pt idx="75">
                  <c:v>39</c:v>
                </c:pt>
                <c:pt idx="76">
                  <c:v>41</c:v>
                </c:pt>
                <c:pt idx="77">
                  <c:v>212</c:v>
                </c:pt>
                <c:pt idx="78">
                  <c:v>426</c:v>
                </c:pt>
                <c:pt idx="79">
                  <c:v>3</c:v>
                </c:pt>
                <c:pt idx="80">
                  <c:v>112</c:v>
                </c:pt>
                <c:pt idx="81">
                  <c:v>347</c:v>
                </c:pt>
                <c:pt idx="82">
                  <c:v>303</c:v>
                </c:pt>
                <c:pt idx="83">
                  <c:v>93</c:v>
                </c:pt>
                <c:pt idx="84">
                  <c:v>172</c:v>
                </c:pt>
                <c:pt idx="85">
                  <c:v>9</c:v>
                </c:pt>
                <c:pt idx="86">
                  <c:v>20</c:v>
                </c:pt>
                <c:pt idx="87">
                  <c:v>64</c:v>
                </c:pt>
                <c:pt idx="88">
                  <c:v>85</c:v>
                </c:pt>
                <c:pt idx="89">
                  <c:v>296</c:v>
                </c:pt>
                <c:pt idx="90">
                  <c:v>303</c:v>
                </c:pt>
                <c:pt idx="91">
                  <c:v>400</c:v>
                </c:pt>
                <c:pt idx="92">
                  <c:v>331</c:v>
                </c:pt>
                <c:pt idx="93">
                  <c:v>325</c:v>
                </c:pt>
                <c:pt idx="94">
                  <c:v>413</c:v>
                </c:pt>
                <c:pt idx="95">
                  <c:v>436</c:v>
                </c:pt>
                <c:pt idx="96">
                  <c:v>312</c:v>
                </c:pt>
                <c:pt idx="97">
                  <c:v>249</c:v>
                </c:pt>
                <c:pt idx="98">
                  <c:v>5</c:v>
                </c:pt>
                <c:pt idx="99">
                  <c:v>388</c:v>
                </c:pt>
                <c:pt idx="100">
                  <c:v>150</c:v>
                </c:pt>
                <c:pt idx="101">
                  <c:v>283</c:v>
                </c:pt>
                <c:pt idx="102">
                  <c:v>156</c:v>
                </c:pt>
                <c:pt idx="103">
                  <c:v>274</c:v>
                </c:pt>
                <c:pt idx="104">
                  <c:v>370</c:v>
                </c:pt>
                <c:pt idx="105">
                  <c:v>116</c:v>
                </c:pt>
                <c:pt idx="106">
                  <c:v>23</c:v>
                </c:pt>
                <c:pt idx="107">
                  <c:v>293</c:v>
                </c:pt>
                <c:pt idx="108">
                  <c:v>129</c:v>
                </c:pt>
                <c:pt idx="109">
                  <c:v>322</c:v>
                </c:pt>
                <c:pt idx="110">
                  <c:v>127</c:v>
                </c:pt>
                <c:pt idx="111">
                  <c:v>465</c:v>
                </c:pt>
                <c:pt idx="112">
                  <c:v>491</c:v>
                </c:pt>
                <c:pt idx="113">
                  <c:v>122</c:v>
                </c:pt>
                <c:pt idx="114">
                  <c:v>352</c:v>
                </c:pt>
                <c:pt idx="115">
                  <c:v>144</c:v>
                </c:pt>
                <c:pt idx="116">
                  <c:v>58</c:v>
                </c:pt>
                <c:pt idx="117">
                  <c:v>30</c:v>
                </c:pt>
                <c:pt idx="118">
                  <c:v>352</c:v>
                </c:pt>
                <c:pt idx="119">
                  <c:v>41</c:v>
                </c:pt>
              </c:numCache>
            </c:numRef>
          </c:val>
          <c:extLst>
            <c:ext xmlns:c16="http://schemas.microsoft.com/office/drawing/2014/chart" uri="{C3380CC4-5D6E-409C-BE32-E72D297353CC}">
              <c16:uniqueId val="{00000000-4D29-4B5A-8EC6-F7CD02595E02}"/>
            </c:ext>
          </c:extLst>
        </c:ser>
        <c:ser>
          <c:idx val="1"/>
          <c:order val="1"/>
          <c:tx>
            <c:strRef>
              <c:f>'social media sentiment Project'!$K$5</c:f>
              <c:strCache>
                <c:ptCount val="1"/>
                <c:pt idx="0">
                  <c:v>Shares</c:v>
                </c:pt>
              </c:strCache>
            </c:strRef>
          </c:tx>
          <c:spPr>
            <a:solidFill>
              <a:schemeClr val="accent2"/>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Project'!$K$6:$K$125</c:f>
              <c:numCache>
                <c:formatCode>General</c:formatCode>
                <c:ptCount val="120"/>
                <c:pt idx="0">
                  <c:v>35</c:v>
                </c:pt>
                <c:pt idx="1">
                  <c:v>23</c:v>
                </c:pt>
                <c:pt idx="2">
                  <c:v>179</c:v>
                </c:pt>
                <c:pt idx="3">
                  <c:v>40</c:v>
                </c:pt>
                <c:pt idx="4">
                  <c:v>195</c:v>
                </c:pt>
                <c:pt idx="5">
                  <c:v>88</c:v>
                </c:pt>
                <c:pt idx="6">
                  <c:v>141</c:v>
                </c:pt>
                <c:pt idx="7">
                  <c:v>11</c:v>
                </c:pt>
                <c:pt idx="8">
                  <c:v>71</c:v>
                </c:pt>
                <c:pt idx="9">
                  <c:v>171</c:v>
                </c:pt>
                <c:pt idx="10">
                  <c:v>62</c:v>
                </c:pt>
                <c:pt idx="11">
                  <c:v>196</c:v>
                </c:pt>
                <c:pt idx="12">
                  <c:v>16</c:v>
                </c:pt>
                <c:pt idx="13">
                  <c:v>164</c:v>
                </c:pt>
                <c:pt idx="14">
                  <c:v>137</c:v>
                </c:pt>
                <c:pt idx="15">
                  <c:v>35</c:v>
                </c:pt>
                <c:pt idx="16">
                  <c:v>40</c:v>
                </c:pt>
                <c:pt idx="17">
                  <c:v>135</c:v>
                </c:pt>
                <c:pt idx="18">
                  <c:v>28</c:v>
                </c:pt>
                <c:pt idx="19">
                  <c:v>184</c:v>
                </c:pt>
                <c:pt idx="20">
                  <c:v>163</c:v>
                </c:pt>
                <c:pt idx="21">
                  <c:v>199</c:v>
                </c:pt>
                <c:pt idx="22">
                  <c:v>92</c:v>
                </c:pt>
                <c:pt idx="23">
                  <c:v>124</c:v>
                </c:pt>
                <c:pt idx="24">
                  <c:v>67</c:v>
                </c:pt>
                <c:pt idx="25">
                  <c:v>102</c:v>
                </c:pt>
                <c:pt idx="26">
                  <c:v>57</c:v>
                </c:pt>
                <c:pt idx="27">
                  <c:v>1</c:v>
                </c:pt>
                <c:pt idx="28">
                  <c:v>84</c:v>
                </c:pt>
                <c:pt idx="29">
                  <c:v>33</c:v>
                </c:pt>
                <c:pt idx="30">
                  <c:v>24</c:v>
                </c:pt>
                <c:pt idx="31">
                  <c:v>186</c:v>
                </c:pt>
                <c:pt idx="32">
                  <c:v>27</c:v>
                </c:pt>
                <c:pt idx="33">
                  <c:v>46</c:v>
                </c:pt>
                <c:pt idx="34">
                  <c:v>12</c:v>
                </c:pt>
                <c:pt idx="35">
                  <c:v>124</c:v>
                </c:pt>
                <c:pt idx="36">
                  <c:v>99</c:v>
                </c:pt>
                <c:pt idx="37">
                  <c:v>75</c:v>
                </c:pt>
                <c:pt idx="38">
                  <c:v>122</c:v>
                </c:pt>
                <c:pt idx="39">
                  <c:v>152</c:v>
                </c:pt>
                <c:pt idx="40">
                  <c:v>148</c:v>
                </c:pt>
                <c:pt idx="41">
                  <c:v>171</c:v>
                </c:pt>
                <c:pt idx="42">
                  <c:v>165</c:v>
                </c:pt>
                <c:pt idx="43">
                  <c:v>144</c:v>
                </c:pt>
                <c:pt idx="44">
                  <c:v>89</c:v>
                </c:pt>
                <c:pt idx="45">
                  <c:v>139</c:v>
                </c:pt>
                <c:pt idx="46">
                  <c:v>34</c:v>
                </c:pt>
                <c:pt idx="47">
                  <c:v>154</c:v>
                </c:pt>
                <c:pt idx="48">
                  <c:v>64</c:v>
                </c:pt>
                <c:pt idx="49">
                  <c:v>197</c:v>
                </c:pt>
                <c:pt idx="50">
                  <c:v>109</c:v>
                </c:pt>
                <c:pt idx="51">
                  <c:v>94</c:v>
                </c:pt>
                <c:pt idx="52">
                  <c:v>93</c:v>
                </c:pt>
                <c:pt idx="53">
                  <c:v>143</c:v>
                </c:pt>
                <c:pt idx="54">
                  <c:v>105</c:v>
                </c:pt>
                <c:pt idx="55">
                  <c:v>179</c:v>
                </c:pt>
                <c:pt idx="56">
                  <c:v>117</c:v>
                </c:pt>
                <c:pt idx="57">
                  <c:v>102</c:v>
                </c:pt>
                <c:pt idx="58">
                  <c:v>102</c:v>
                </c:pt>
                <c:pt idx="59">
                  <c:v>148</c:v>
                </c:pt>
                <c:pt idx="60">
                  <c:v>80</c:v>
                </c:pt>
                <c:pt idx="61">
                  <c:v>181</c:v>
                </c:pt>
                <c:pt idx="62">
                  <c:v>170</c:v>
                </c:pt>
                <c:pt idx="63">
                  <c:v>170</c:v>
                </c:pt>
                <c:pt idx="64">
                  <c:v>170</c:v>
                </c:pt>
                <c:pt idx="65">
                  <c:v>0</c:v>
                </c:pt>
                <c:pt idx="66">
                  <c:v>113</c:v>
                </c:pt>
                <c:pt idx="67">
                  <c:v>169</c:v>
                </c:pt>
                <c:pt idx="68">
                  <c:v>57</c:v>
                </c:pt>
                <c:pt idx="69">
                  <c:v>196</c:v>
                </c:pt>
                <c:pt idx="70">
                  <c:v>98</c:v>
                </c:pt>
                <c:pt idx="71">
                  <c:v>108</c:v>
                </c:pt>
                <c:pt idx="72">
                  <c:v>34</c:v>
                </c:pt>
                <c:pt idx="73">
                  <c:v>40</c:v>
                </c:pt>
                <c:pt idx="74">
                  <c:v>196</c:v>
                </c:pt>
                <c:pt idx="75">
                  <c:v>182</c:v>
                </c:pt>
                <c:pt idx="76">
                  <c:v>35</c:v>
                </c:pt>
                <c:pt idx="77">
                  <c:v>104</c:v>
                </c:pt>
                <c:pt idx="78">
                  <c:v>107</c:v>
                </c:pt>
                <c:pt idx="79">
                  <c:v>90</c:v>
                </c:pt>
                <c:pt idx="80">
                  <c:v>69</c:v>
                </c:pt>
                <c:pt idx="81">
                  <c:v>103</c:v>
                </c:pt>
                <c:pt idx="82">
                  <c:v>144</c:v>
                </c:pt>
                <c:pt idx="83">
                  <c:v>12</c:v>
                </c:pt>
                <c:pt idx="84">
                  <c:v>194</c:v>
                </c:pt>
                <c:pt idx="85">
                  <c:v>191</c:v>
                </c:pt>
                <c:pt idx="86">
                  <c:v>193</c:v>
                </c:pt>
                <c:pt idx="87">
                  <c:v>121</c:v>
                </c:pt>
                <c:pt idx="88">
                  <c:v>155</c:v>
                </c:pt>
                <c:pt idx="89">
                  <c:v>6</c:v>
                </c:pt>
                <c:pt idx="90">
                  <c:v>176</c:v>
                </c:pt>
                <c:pt idx="91">
                  <c:v>10</c:v>
                </c:pt>
                <c:pt idx="92">
                  <c:v>87</c:v>
                </c:pt>
                <c:pt idx="93">
                  <c:v>117</c:v>
                </c:pt>
                <c:pt idx="94">
                  <c:v>137</c:v>
                </c:pt>
                <c:pt idx="95">
                  <c:v>62</c:v>
                </c:pt>
                <c:pt idx="96">
                  <c:v>171</c:v>
                </c:pt>
                <c:pt idx="97">
                  <c:v>54</c:v>
                </c:pt>
                <c:pt idx="98">
                  <c:v>132</c:v>
                </c:pt>
                <c:pt idx="99">
                  <c:v>61</c:v>
                </c:pt>
                <c:pt idx="100">
                  <c:v>56</c:v>
                </c:pt>
                <c:pt idx="101">
                  <c:v>135</c:v>
                </c:pt>
                <c:pt idx="102">
                  <c:v>64</c:v>
                </c:pt>
                <c:pt idx="103">
                  <c:v>195</c:v>
                </c:pt>
                <c:pt idx="104">
                  <c:v>150</c:v>
                </c:pt>
                <c:pt idx="105">
                  <c:v>92</c:v>
                </c:pt>
                <c:pt idx="106">
                  <c:v>13</c:v>
                </c:pt>
                <c:pt idx="107">
                  <c:v>72</c:v>
                </c:pt>
                <c:pt idx="108">
                  <c:v>122</c:v>
                </c:pt>
                <c:pt idx="109">
                  <c:v>175</c:v>
                </c:pt>
                <c:pt idx="110">
                  <c:v>30</c:v>
                </c:pt>
                <c:pt idx="111">
                  <c:v>113</c:v>
                </c:pt>
                <c:pt idx="112">
                  <c:v>189</c:v>
                </c:pt>
                <c:pt idx="113">
                  <c:v>44</c:v>
                </c:pt>
                <c:pt idx="114">
                  <c:v>152</c:v>
                </c:pt>
                <c:pt idx="115">
                  <c:v>179</c:v>
                </c:pt>
                <c:pt idx="116">
                  <c:v>139</c:v>
                </c:pt>
                <c:pt idx="117">
                  <c:v>42</c:v>
                </c:pt>
                <c:pt idx="118">
                  <c:v>77</c:v>
                </c:pt>
                <c:pt idx="119">
                  <c:v>153</c:v>
                </c:pt>
              </c:numCache>
            </c:numRef>
          </c:val>
          <c:extLst>
            <c:ext xmlns:c16="http://schemas.microsoft.com/office/drawing/2014/chart" uri="{C3380CC4-5D6E-409C-BE32-E72D297353CC}">
              <c16:uniqueId val="{00000001-4D29-4B5A-8EC6-F7CD02595E02}"/>
            </c:ext>
          </c:extLst>
        </c:ser>
        <c:ser>
          <c:idx val="2"/>
          <c:order val="2"/>
          <c:tx>
            <c:strRef>
              <c:f>'social media sentiment Project'!$L$5</c:f>
              <c:strCache>
                <c:ptCount val="1"/>
                <c:pt idx="0">
                  <c:v>Comment_Count</c:v>
                </c:pt>
              </c:strCache>
            </c:strRef>
          </c:tx>
          <c:spPr>
            <a:solidFill>
              <a:schemeClr val="accent3"/>
            </a:solidFill>
            <a:ln>
              <a:noFill/>
            </a:ln>
            <a:effectLst/>
          </c:spPr>
          <c:invertIfNegative val="0"/>
          <c:cat>
            <c:multiLvlStrRef>
              <c:f>'social media sentiment Project'!$A$6:$I$125</c:f>
              <c:multiLvlStrCache>
                <c:ptCount val="120"/>
                <c:lvl>
                  <c:pt idx="0">
                    <c:v>E-commerce</c:v>
                  </c:pt>
                  <c:pt idx="1">
                    <c:v>AI</c:v>
                  </c:pt>
                  <c:pt idx="2">
                    <c:v>Technology</c:v>
                  </c:pt>
                  <c:pt idx="3">
                    <c:v>AI</c:v>
                  </c:pt>
                  <c:pt idx="4">
                    <c:v>E-commerce</c:v>
                  </c:pt>
                  <c:pt idx="5">
                    <c:v>Education</c:v>
                  </c:pt>
                  <c:pt idx="6">
                    <c:v>Healthcare</c:v>
                  </c:pt>
                  <c:pt idx="7">
                    <c:v>Technology</c:v>
                  </c:pt>
                  <c:pt idx="8">
                    <c:v>AI</c:v>
                  </c:pt>
                  <c:pt idx="9">
                    <c:v>Education</c:v>
                  </c:pt>
                  <c:pt idx="10">
                    <c:v>Sports</c:v>
                  </c:pt>
                  <c:pt idx="11">
                    <c:v>Technology</c:v>
                  </c:pt>
                  <c:pt idx="12">
                    <c:v>Healthcare</c:v>
                  </c:pt>
                  <c:pt idx="13">
                    <c:v>Healthcare</c:v>
                  </c:pt>
                  <c:pt idx="14">
                    <c:v>Technology</c:v>
                  </c:pt>
                  <c:pt idx="15">
                    <c:v>Education</c:v>
                  </c:pt>
                  <c:pt idx="16">
                    <c:v>E-commerce</c:v>
                  </c:pt>
                  <c:pt idx="17">
                    <c:v>Sports</c:v>
                  </c:pt>
                  <c:pt idx="18">
                    <c:v>Technology</c:v>
                  </c:pt>
                  <c:pt idx="19">
                    <c:v>Technology</c:v>
                  </c:pt>
                  <c:pt idx="20">
                    <c:v>Technology</c:v>
                  </c:pt>
                  <c:pt idx="21">
                    <c:v>E-commerce</c:v>
                  </c:pt>
                  <c:pt idx="22">
                    <c:v>AI</c:v>
                  </c:pt>
                  <c:pt idx="23">
                    <c:v>AI</c:v>
                  </c:pt>
                  <c:pt idx="24">
                    <c:v>Sports</c:v>
                  </c:pt>
                  <c:pt idx="25">
                    <c:v>Technology</c:v>
                  </c:pt>
                  <c:pt idx="26">
                    <c:v>AI</c:v>
                  </c:pt>
                  <c:pt idx="27">
                    <c:v>Sports</c:v>
                  </c:pt>
                  <c:pt idx="28">
                    <c:v>AI</c:v>
                  </c:pt>
                  <c:pt idx="29">
                    <c:v>E-commerce</c:v>
                  </c:pt>
                  <c:pt idx="30">
                    <c:v>Healthcare</c:v>
                  </c:pt>
                  <c:pt idx="31">
                    <c:v>Healthcare</c:v>
                  </c:pt>
                  <c:pt idx="32">
                    <c:v>Technology</c:v>
                  </c:pt>
                  <c:pt idx="33">
                    <c:v>E-commerce</c:v>
                  </c:pt>
                  <c:pt idx="34">
                    <c:v>Sports</c:v>
                  </c:pt>
                  <c:pt idx="35">
                    <c:v>E-commerce</c:v>
                  </c:pt>
                  <c:pt idx="36">
                    <c:v>Healthcare</c:v>
                  </c:pt>
                  <c:pt idx="37">
                    <c:v>E-commerce</c:v>
                  </c:pt>
                  <c:pt idx="38">
                    <c:v>AI</c:v>
                  </c:pt>
                  <c:pt idx="39">
                    <c:v>E-commerce</c:v>
                  </c:pt>
                  <c:pt idx="40">
                    <c:v>Sports</c:v>
                  </c:pt>
                  <c:pt idx="41">
                    <c:v>Education</c:v>
                  </c:pt>
                  <c:pt idx="42">
                    <c:v>E-commerce</c:v>
                  </c:pt>
                  <c:pt idx="43">
                    <c:v>Healthcare</c:v>
                  </c:pt>
                  <c:pt idx="44">
                    <c:v>E-commerce</c:v>
                  </c:pt>
                  <c:pt idx="45">
                    <c:v>Healthcare</c:v>
                  </c:pt>
                  <c:pt idx="46">
                    <c:v>Technology</c:v>
                  </c:pt>
                  <c:pt idx="47">
                    <c:v>Education</c:v>
                  </c:pt>
                  <c:pt idx="48">
                    <c:v>Sports</c:v>
                  </c:pt>
                  <c:pt idx="49">
                    <c:v>AI</c:v>
                  </c:pt>
                  <c:pt idx="50">
                    <c:v>Sports</c:v>
                  </c:pt>
                  <c:pt idx="51">
                    <c:v>Sports</c:v>
                  </c:pt>
                  <c:pt idx="52">
                    <c:v>AI</c:v>
                  </c:pt>
                  <c:pt idx="53">
                    <c:v>Education</c:v>
                  </c:pt>
                  <c:pt idx="54">
                    <c:v>E-commerce</c:v>
                  </c:pt>
                  <c:pt idx="55">
                    <c:v>Education</c:v>
                  </c:pt>
                  <c:pt idx="56">
                    <c:v>E-commerce</c:v>
                  </c:pt>
                  <c:pt idx="57">
                    <c:v>Technology</c:v>
                  </c:pt>
                  <c:pt idx="58">
                    <c:v>Technology</c:v>
                  </c:pt>
                  <c:pt idx="59">
                    <c:v>Education</c:v>
                  </c:pt>
                  <c:pt idx="60">
                    <c:v>Education</c:v>
                  </c:pt>
                  <c:pt idx="61">
                    <c:v>Education</c:v>
                  </c:pt>
                  <c:pt idx="62">
                    <c:v>AI</c:v>
                  </c:pt>
                  <c:pt idx="63">
                    <c:v>Sports</c:v>
                  </c:pt>
                  <c:pt idx="64">
                    <c:v>E-commerce</c:v>
                  </c:pt>
                  <c:pt idx="65">
                    <c:v>Healthcare</c:v>
                  </c:pt>
                  <c:pt idx="66">
                    <c:v>Healthcare</c:v>
                  </c:pt>
                  <c:pt idx="67">
                    <c:v>Education</c:v>
                  </c:pt>
                  <c:pt idx="68">
                    <c:v>Technology</c:v>
                  </c:pt>
                  <c:pt idx="69">
                    <c:v>Healthcare</c:v>
                  </c:pt>
                  <c:pt idx="70">
                    <c:v>Technology</c:v>
                  </c:pt>
                  <c:pt idx="71">
                    <c:v>AI</c:v>
                  </c:pt>
                  <c:pt idx="72">
                    <c:v>AI</c:v>
                  </c:pt>
                  <c:pt idx="73">
                    <c:v>Sports</c:v>
                  </c:pt>
                  <c:pt idx="74">
                    <c:v>Technology</c:v>
                  </c:pt>
                  <c:pt idx="75">
                    <c:v>Healthcare</c:v>
                  </c:pt>
                  <c:pt idx="76">
                    <c:v>Sports</c:v>
                  </c:pt>
                  <c:pt idx="77">
                    <c:v>AI</c:v>
                  </c:pt>
                  <c:pt idx="78">
                    <c:v>E-commerce</c:v>
                  </c:pt>
                  <c:pt idx="79">
                    <c:v>Healthcare</c:v>
                  </c:pt>
                  <c:pt idx="80">
                    <c:v>Healthcare</c:v>
                  </c:pt>
                  <c:pt idx="81">
                    <c:v>Technology</c:v>
                  </c:pt>
                  <c:pt idx="82">
                    <c:v>Healthcare</c:v>
                  </c:pt>
                  <c:pt idx="83">
                    <c:v>Healthcare</c:v>
                  </c:pt>
                  <c:pt idx="84">
                    <c:v>Education</c:v>
                  </c:pt>
                  <c:pt idx="85">
                    <c:v>Healthcare</c:v>
                  </c:pt>
                  <c:pt idx="86">
                    <c:v>Technology</c:v>
                  </c:pt>
                  <c:pt idx="87">
                    <c:v>E-commerce</c:v>
                  </c:pt>
                  <c:pt idx="88">
                    <c:v>Education</c:v>
                  </c:pt>
                  <c:pt idx="89">
                    <c:v>AI</c:v>
                  </c:pt>
                  <c:pt idx="90">
                    <c:v>AI</c:v>
                  </c:pt>
                  <c:pt idx="91">
                    <c:v>Sports</c:v>
                  </c:pt>
                  <c:pt idx="92">
                    <c:v>Sports</c:v>
                  </c:pt>
                  <c:pt idx="93">
                    <c:v>Education</c:v>
                  </c:pt>
                  <c:pt idx="94">
                    <c:v>Sports</c:v>
                  </c:pt>
                  <c:pt idx="95">
                    <c:v>Education</c:v>
                  </c:pt>
                  <c:pt idx="96">
                    <c:v>Sports</c:v>
                  </c:pt>
                  <c:pt idx="97">
                    <c:v>E-commerce</c:v>
                  </c:pt>
                  <c:pt idx="98">
                    <c:v>Sports</c:v>
                  </c:pt>
                  <c:pt idx="99">
                    <c:v>Sports</c:v>
                  </c:pt>
                  <c:pt idx="100">
                    <c:v>AI</c:v>
                  </c:pt>
                  <c:pt idx="101">
                    <c:v>Healthcare</c:v>
                  </c:pt>
                  <c:pt idx="102">
                    <c:v>Education</c:v>
                  </c:pt>
                  <c:pt idx="103">
                    <c:v>Technology</c:v>
                  </c:pt>
                  <c:pt idx="104">
                    <c:v>Education</c:v>
                  </c:pt>
                  <c:pt idx="105">
                    <c:v>Education</c:v>
                  </c:pt>
                  <c:pt idx="106">
                    <c:v>Education</c:v>
                  </c:pt>
                  <c:pt idx="107">
                    <c:v>AI</c:v>
                  </c:pt>
                  <c:pt idx="108">
                    <c:v>AI</c:v>
                  </c:pt>
                  <c:pt idx="109">
                    <c:v>Sports</c:v>
                  </c:pt>
                  <c:pt idx="110">
                    <c:v>AI</c:v>
                  </c:pt>
                  <c:pt idx="111">
                    <c:v>Healthcare</c:v>
                  </c:pt>
                  <c:pt idx="112">
                    <c:v>Sports</c:v>
                  </c:pt>
                  <c:pt idx="113">
                    <c:v>E-commerce</c:v>
                  </c:pt>
                  <c:pt idx="114">
                    <c:v>Healthcare</c:v>
                  </c:pt>
                  <c:pt idx="115">
                    <c:v>Technology</c:v>
                  </c:pt>
                  <c:pt idx="116">
                    <c:v>Healthcare</c:v>
                  </c:pt>
                  <c:pt idx="117">
                    <c:v>AI</c:v>
                  </c:pt>
                  <c:pt idx="118">
                    <c:v>Healthcare</c:v>
                  </c:pt>
                  <c:pt idx="119">
                    <c:v>Healthcare</c:v>
                  </c:pt>
                </c:lvl>
                <c:lvl>
                  <c:pt idx="0">
                    <c:v>0</c:v>
                  </c:pt>
                  <c:pt idx="1">
                    <c:v>1</c:v>
                  </c:pt>
                  <c:pt idx="2">
                    <c:v>1</c:v>
                  </c:pt>
                  <c:pt idx="3">
                    <c:v>-1</c:v>
                  </c:pt>
                  <c:pt idx="4">
                    <c:v>-1</c:v>
                  </c:pt>
                  <c:pt idx="5">
                    <c:v>1</c:v>
                  </c:pt>
                  <c:pt idx="6">
                    <c:v>-1</c:v>
                  </c:pt>
                  <c:pt idx="7">
                    <c:v>0</c:v>
                  </c:pt>
                  <c:pt idx="8">
                    <c:v>1</c:v>
                  </c:pt>
                  <c:pt idx="9">
                    <c:v>0</c:v>
                  </c:pt>
                  <c:pt idx="10">
                    <c:v>0</c:v>
                  </c:pt>
                  <c:pt idx="11">
                    <c:v>-1</c:v>
                  </c:pt>
                  <c:pt idx="12">
                    <c:v>1</c:v>
                  </c:pt>
                  <c:pt idx="13">
                    <c:v>0</c:v>
                  </c:pt>
                  <c:pt idx="14">
                    <c:v>1</c:v>
                  </c:pt>
                  <c:pt idx="15">
                    <c:v>0</c:v>
                  </c:pt>
                  <c:pt idx="16">
                    <c:v>-1</c:v>
                  </c:pt>
                  <c:pt idx="17">
                    <c:v>-1</c:v>
                  </c:pt>
                  <c:pt idx="18">
                    <c:v>0</c:v>
                  </c:pt>
                  <c:pt idx="19">
                    <c:v>-1</c:v>
                  </c:pt>
                  <c:pt idx="20">
                    <c:v>0</c:v>
                  </c:pt>
                  <c:pt idx="21">
                    <c:v>0</c:v>
                  </c:pt>
                  <c:pt idx="22">
                    <c:v>1</c:v>
                  </c:pt>
                  <c:pt idx="23">
                    <c:v>1</c:v>
                  </c:pt>
                  <c:pt idx="24">
                    <c:v>0</c:v>
                  </c:pt>
                  <c:pt idx="25">
                    <c:v>0</c:v>
                  </c:pt>
                  <c:pt idx="26">
                    <c:v>0</c:v>
                  </c:pt>
                  <c:pt idx="27">
                    <c:v>-1</c:v>
                  </c:pt>
                  <c:pt idx="28">
                    <c:v>0</c:v>
                  </c:pt>
                  <c:pt idx="29">
                    <c:v>0</c:v>
                  </c:pt>
                  <c:pt idx="30">
                    <c:v>0</c:v>
                  </c:pt>
                  <c:pt idx="31">
                    <c:v>0</c:v>
                  </c:pt>
                  <c:pt idx="32">
                    <c:v>0</c:v>
                  </c:pt>
                  <c:pt idx="33">
                    <c:v>1</c:v>
                  </c:pt>
                  <c:pt idx="34">
                    <c:v>-1</c:v>
                  </c:pt>
                  <c:pt idx="35">
                    <c:v>0</c:v>
                  </c:pt>
                  <c:pt idx="36">
                    <c:v>1</c:v>
                  </c:pt>
                  <c:pt idx="37">
                    <c:v>-1</c:v>
                  </c:pt>
                  <c:pt idx="38">
                    <c:v>1</c:v>
                  </c:pt>
                  <c:pt idx="39">
                    <c:v>0</c:v>
                  </c:pt>
                  <c:pt idx="40">
                    <c:v>0</c:v>
                  </c:pt>
                  <c:pt idx="41">
                    <c:v>1</c:v>
                  </c:pt>
                  <c:pt idx="42">
                    <c:v>-1</c:v>
                  </c:pt>
                  <c:pt idx="43">
                    <c:v>-1</c:v>
                  </c:pt>
                  <c:pt idx="44">
                    <c:v>1</c:v>
                  </c:pt>
                  <c:pt idx="45">
                    <c:v>1</c:v>
                  </c:pt>
                  <c:pt idx="46">
                    <c:v>-1</c:v>
                  </c:pt>
                  <c:pt idx="47">
                    <c:v>1</c:v>
                  </c:pt>
                  <c:pt idx="48">
                    <c:v>0</c:v>
                  </c:pt>
                  <c:pt idx="49">
                    <c:v>1</c:v>
                  </c:pt>
                  <c:pt idx="50">
                    <c:v>0</c:v>
                  </c:pt>
                  <c:pt idx="51">
                    <c:v>1</c:v>
                  </c:pt>
                  <c:pt idx="52">
                    <c:v>0</c:v>
                  </c:pt>
                  <c:pt idx="53">
                    <c:v>-1</c:v>
                  </c:pt>
                  <c:pt idx="54">
                    <c:v>0</c:v>
                  </c:pt>
                  <c:pt idx="55">
                    <c:v>1</c:v>
                  </c:pt>
                  <c:pt idx="56">
                    <c:v>-1</c:v>
                  </c:pt>
                  <c:pt idx="57">
                    <c:v>-1</c:v>
                  </c:pt>
                  <c:pt idx="58">
                    <c:v>-1</c:v>
                  </c:pt>
                  <c:pt idx="59">
                    <c:v>0</c:v>
                  </c:pt>
                  <c:pt idx="60">
                    <c:v>1</c:v>
                  </c:pt>
                  <c:pt idx="61">
                    <c:v>0</c:v>
                  </c:pt>
                  <c:pt idx="62">
                    <c:v>1</c:v>
                  </c:pt>
                  <c:pt idx="63">
                    <c:v>0</c:v>
                  </c:pt>
                  <c:pt idx="64">
                    <c:v>-1</c:v>
                  </c:pt>
                  <c:pt idx="65">
                    <c:v>0</c:v>
                  </c:pt>
                  <c:pt idx="66">
                    <c:v>-1</c:v>
                  </c:pt>
                  <c:pt idx="67">
                    <c:v>1</c:v>
                  </c:pt>
                  <c:pt idx="68">
                    <c:v>0</c:v>
                  </c:pt>
                  <c:pt idx="69">
                    <c:v>1</c:v>
                  </c:pt>
                  <c:pt idx="70">
                    <c:v>-1</c:v>
                  </c:pt>
                  <c:pt idx="71">
                    <c:v>-1</c:v>
                  </c:pt>
                  <c:pt idx="72">
                    <c:v>1</c:v>
                  </c:pt>
                  <c:pt idx="73">
                    <c:v>0</c:v>
                  </c:pt>
                  <c:pt idx="74">
                    <c:v>-1</c:v>
                  </c:pt>
                  <c:pt idx="75">
                    <c:v>0</c:v>
                  </c:pt>
                  <c:pt idx="76">
                    <c:v>1</c:v>
                  </c:pt>
                  <c:pt idx="77">
                    <c:v>1</c:v>
                  </c:pt>
                  <c:pt idx="78">
                    <c:v>0</c:v>
                  </c:pt>
                  <c:pt idx="79">
                    <c:v>0</c:v>
                  </c:pt>
                  <c:pt idx="80">
                    <c:v>-1</c:v>
                  </c:pt>
                  <c:pt idx="81">
                    <c:v>-1</c:v>
                  </c:pt>
                  <c:pt idx="82">
                    <c:v>1</c:v>
                  </c:pt>
                  <c:pt idx="83">
                    <c:v>1</c:v>
                  </c:pt>
                  <c:pt idx="84">
                    <c:v>-1</c:v>
                  </c:pt>
                  <c:pt idx="85">
                    <c:v>-1</c:v>
                  </c:pt>
                  <c:pt idx="86">
                    <c:v>1</c:v>
                  </c:pt>
                  <c:pt idx="87">
                    <c:v>1</c:v>
                  </c:pt>
                  <c:pt idx="88">
                    <c:v>1</c:v>
                  </c:pt>
                  <c:pt idx="89">
                    <c:v>0</c:v>
                  </c:pt>
                  <c:pt idx="90">
                    <c:v>0</c:v>
                  </c:pt>
                  <c:pt idx="91">
                    <c:v>1</c:v>
                  </c:pt>
                  <c:pt idx="92">
                    <c:v>0</c:v>
                  </c:pt>
                  <c:pt idx="93">
                    <c:v>-1</c:v>
                  </c:pt>
                  <c:pt idx="94">
                    <c:v>1</c:v>
                  </c:pt>
                  <c:pt idx="95">
                    <c:v>-1</c:v>
                  </c:pt>
                  <c:pt idx="96">
                    <c:v>-1</c:v>
                  </c:pt>
                  <c:pt idx="97">
                    <c:v>-1</c:v>
                  </c:pt>
                  <c:pt idx="98">
                    <c:v>-1</c:v>
                  </c:pt>
                  <c:pt idx="99">
                    <c:v>1</c:v>
                  </c:pt>
                  <c:pt idx="100">
                    <c:v>-1</c:v>
                  </c:pt>
                  <c:pt idx="101">
                    <c:v>0</c:v>
                  </c:pt>
                  <c:pt idx="102">
                    <c:v>-1</c:v>
                  </c:pt>
                  <c:pt idx="103">
                    <c:v>1</c:v>
                  </c:pt>
                  <c:pt idx="104">
                    <c:v>1</c:v>
                  </c:pt>
                  <c:pt idx="105">
                    <c:v>0</c:v>
                  </c:pt>
                  <c:pt idx="106">
                    <c:v>-1</c:v>
                  </c:pt>
                  <c:pt idx="107">
                    <c:v>-1</c:v>
                  </c:pt>
                  <c:pt idx="108">
                    <c:v>-1</c:v>
                  </c:pt>
                  <c:pt idx="109">
                    <c:v>1</c:v>
                  </c:pt>
                  <c:pt idx="110">
                    <c:v>1</c:v>
                  </c:pt>
                  <c:pt idx="111">
                    <c:v>-1</c:v>
                  </c:pt>
                  <c:pt idx="112">
                    <c:v>0</c:v>
                  </c:pt>
                  <c:pt idx="113">
                    <c:v>1</c:v>
                  </c:pt>
                  <c:pt idx="114">
                    <c:v>1</c:v>
                  </c:pt>
                  <c:pt idx="115">
                    <c:v>-1</c:v>
                  </c:pt>
                  <c:pt idx="116">
                    <c:v>1</c:v>
                  </c:pt>
                  <c:pt idx="117">
                    <c:v>0</c:v>
                  </c:pt>
                  <c:pt idx="118">
                    <c:v>0</c:v>
                  </c:pt>
                  <c:pt idx="119">
                    <c:v>-1</c:v>
                  </c:pt>
                </c:lvl>
                <c:lvl>
                  <c:pt idx="0">
                    <c:v>Neutral</c:v>
                  </c:pt>
                  <c:pt idx="1">
                    <c:v>Positive</c:v>
                  </c:pt>
                  <c:pt idx="2">
                    <c:v>Positive</c:v>
                  </c:pt>
                  <c:pt idx="3">
                    <c:v>Negative</c:v>
                  </c:pt>
                  <c:pt idx="4">
                    <c:v>Negative</c:v>
                  </c:pt>
                  <c:pt idx="5">
                    <c:v>Positive</c:v>
                  </c:pt>
                  <c:pt idx="6">
                    <c:v>Negative</c:v>
                  </c:pt>
                  <c:pt idx="7">
                    <c:v>Neutral</c:v>
                  </c:pt>
                  <c:pt idx="8">
                    <c:v>Positive</c:v>
                  </c:pt>
                  <c:pt idx="9">
                    <c:v>Neutral</c:v>
                  </c:pt>
                  <c:pt idx="10">
                    <c:v>Neutral</c:v>
                  </c:pt>
                  <c:pt idx="11">
                    <c:v>Negative</c:v>
                  </c:pt>
                  <c:pt idx="12">
                    <c:v>Positive</c:v>
                  </c:pt>
                  <c:pt idx="13">
                    <c:v>Neutral</c:v>
                  </c:pt>
                  <c:pt idx="14">
                    <c:v>Positive</c:v>
                  </c:pt>
                  <c:pt idx="15">
                    <c:v>Neutral</c:v>
                  </c:pt>
                  <c:pt idx="16">
                    <c:v>Negative</c:v>
                  </c:pt>
                  <c:pt idx="17">
                    <c:v>Negative</c:v>
                  </c:pt>
                  <c:pt idx="18">
                    <c:v>Neutral</c:v>
                  </c:pt>
                  <c:pt idx="19">
                    <c:v>Negative</c:v>
                  </c:pt>
                  <c:pt idx="20">
                    <c:v>Neutral</c:v>
                  </c:pt>
                  <c:pt idx="21">
                    <c:v>Neutral</c:v>
                  </c:pt>
                  <c:pt idx="22">
                    <c:v>Positive</c:v>
                  </c:pt>
                  <c:pt idx="23">
                    <c:v>Positive</c:v>
                  </c:pt>
                  <c:pt idx="24">
                    <c:v>Neutral</c:v>
                  </c:pt>
                  <c:pt idx="25">
                    <c:v>Neutral</c:v>
                  </c:pt>
                  <c:pt idx="26">
                    <c:v>Neutral</c:v>
                  </c:pt>
                  <c:pt idx="27">
                    <c:v>Negative</c:v>
                  </c:pt>
                  <c:pt idx="28">
                    <c:v>Neutral</c:v>
                  </c:pt>
                  <c:pt idx="29">
                    <c:v>Neutral</c:v>
                  </c:pt>
                  <c:pt idx="30">
                    <c:v>Neutral</c:v>
                  </c:pt>
                  <c:pt idx="31">
                    <c:v>Neutral</c:v>
                  </c:pt>
                  <c:pt idx="32">
                    <c:v>Neutral</c:v>
                  </c:pt>
                  <c:pt idx="33">
                    <c:v>Positive</c:v>
                  </c:pt>
                  <c:pt idx="34">
                    <c:v>Negative</c:v>
                  </c:pt>
                  <c:pt idx="35">
                    <c:v>Neutral</c:v>
                  </c:pt>
                  <c:pt idx="36">
                    <c:v>Positive</c:v>
                  </c:pt>
                  <c:pt idx="37">
                    <c:v>Negative</c:v>
                  </c:pt>
                  <c:pt idx="38">
                    <c:v>Positive</c:v>
                  </c:pt>
                  <c:pt idx="39">
                    <c:v>Neutral</c:v>
                  </c:pt>
                  <c:pt idx="40">
                    <c:v>Neutral</c:v>
                  </c:pt>
                  <c:pt idx="41">
                    <c:v>Positive</c:v>
                  </c:pt>
                  <c:pt idx="42">
                    <c:v>Negative</c:v>
                  </c:pt>
                  <c:pt idx="43">
                    <c:v>Negative</c:v>
                  </c:pt>
                  <c:pt idx="44">
                    <c:v>Positive</c:v>
                  </c:pt>
                  <c:pt idx="45">
                    <c:v>Positive</c:v>
                  </c:pt>
                  <c:pt idx="46">
                    <c:v>Negative</c:v>
                  </c:pt>
                  <c:pt idx="47">
                    <c:v>Positive</c:v>
                  </c:pt>
                  <c:pt idx="48">
                    <c:v>Neutral</c:v>
                  </c:pt>
                  <c:pt idx="49">
                    <c:v>Positive</c:v>
                  </c:pt>
                  <c:pt idx="50">
                    <c:v>Neutral</c:v>
                  </c:pt>
                  <c:pt idx="51">
                    <c:v>Positive</c:v>
                  </c:pt>
                  <c:pt idx="52">
                    <c:v>Neutral</c:v>
                  </c:pt>
                  <c:pt idx="53">
                    <c:v>Negative</c:v>
                  </c:pt>
                  <c:pt idx="54">
                    <c:v>Neutral</c:v>
                  </c:pt>
                  <c:pt idx="55">
                    <c:v>Positive</c:v>
                  </c:pt>
                  <c:pt idx="56">
                    <c:v>Negative</c:v>
                  </c:pt>
                  <c:pt idx="57">
                    <c:v>Negative</c:v>
                  </c:pt>
                  <c:pt idx="58">
                    <c:v>Negative</c:v>
                  </c:pt>
                  <c:pt idx="59">
                    <c:v>Neutral</c:v>
                  </c:pt>
                  <c:pt idx="60">
                    <c:v>Positive</c:v>
                  </c:pt>
                  <c:pt idx="61">
                    <c:v>Neutral</c:v>
                  </c:pt>
                  <c:pt idx="62">
                    <c:v>Positive</c:v>
                  </c:pt>
                  <c:pt idx="63">
                    <c:v>Neutral</c:v>
                  </c:pt>
                  <c:pt idx="64">
                    <c:v>Negative</c:v>
                  </c:pt>
                  <c:pt idx="65">
                    <c:v>Neutral</c:v>
                  </c:pt>
                  <c:pt idx="66">
                    <c:v>Negative</c:v>
                  </c:pt>
                  <c:pt idx="67">
                    <c:v>Positive</c:v>
                  </c:pt>
                  <c:pt idx="68">
                    <c:v>Neutral</c:v>
                  </c:pt>
                  <c:pt idx="69">
                    <c:v>Positive</c:v>
                  </c:pt>
                  <c:pt idx="70">
                    <c:v>Negative</c:v>
                  </c:pt>
                  <c:pt idx="71">
                    <c:v>Negative</c:v>
                  </c:pt>
                  <c:pt idx="72">
                    <c:v>Positive</c:v>
                  </c:pt>
                  <c:pt idx="73">
                    <c:v>Neutral</c:v>
                  </c:pt>
                  <c:pt idx="74">
                    <c:v>Negative</c:v>
                  </c:pt>
                  <c:pt idx="75">
                    <c:v>Neutral</c:v>
                  </c:pt>
                  <c:pt idx="76">
                    <c:v>Positive</c:v>
                  </c:pt>
                  <c:pt idx="77">
                    <c:v>Positive</c:v>
                  </c:pt>
                  <c:pt idx="78">
                    <c:v>Neutral</c:v>
                  </c:pt>
                  <c:pt idx="79">
                    <c:v>Neutral</c:v>
                  </c:pt>
                  <c:pt idx="80">
                    <c:v>Negative</c:v>
                  </c:pt>
                  <c:pt idx="81">
                    <c:v>Negative</c:v>
                  </c:pt>
                  <c:pt idx="82">
                    <c:v>Positive</c:v>
                  </c:pt>
                  <c:pt idx="83">
                    <c:v>Positive</c:v>
                  </c:pt>
                  <c:pt idx="84">
                    <c:v>Negative</c:v>
                  </c:pt>
                  <c:pt idx="85">
                    <c:v>Negative</c:v>
                  </c:pt>
                  <c:pt idx="86">
                    <c:v>Positive</c:v>
                  </c:pt>
                  <c:pt idx="87">
                    <c:v>Positive</c:v>
                  </c:pt>
                  <c:pt idx="88">
                    <c:v>Positive</c:v>
                  </c:pt>
                  <c:pt idx="89">
                    <c:v>Neutral</c:v>
                  </c:pt>
                  <c:pt idx="90">
                    <c:v>Neutral</c:v>
                  </c:pt>
                  <c:pt idx="91">
                    <c:v>Positive</c:v>
                  </c:pt>
                  <c:pt idx="92">
                    <c:v>Neutral</c:v>
                  </c:pt>
                  <c:pt idx="93">
                    <c:v>Negative</c:v>
                  </c:pt>
                  <c:pt idx="94">
                    <c:v>Positive</c:v>
                  </c:pt>
                  <c:pt idx="95">
                    <c:v>Negative</c:v>
                  </c:pt>
                  <c:pt idx="96">
                    <c:v>Negative</c:v>
                  </c:pt>
                  <c:pt idx="97">
                    <c:v>Negative</c:v>
                  </c:pt>
                  <c:pt idx="98">
                    <c:v>Negative</c:v>
                  </c:pt>
                  <c:pt idx="99">
                    <c:v>Positive</c:v>
                  </c:pt>
                  <c:pt idx="100">
                    <c:v>Negative</c:v>
                  </c:pt>
                  <c:pt idx="101">
                    <c:v>Neutral</c:v>
                  </c:pt>
                  <c:pt idx="102">
                    <c:v>Negative</c:v>
                  </c:pt>
                  <c:pt idx="103">
                    <c:v>Positive</c:v>
                  </c:pt>
                  <c:pt idx="104">
                    <c:v>Positive</c:v>
                  </c:pt>
                  <c:pt idx="105">
                    <c:v>Neutral</c:v>
                  </c:pt>
                  <c:pt idx="106">
                    <c:v>Negative</c:v>
                  </c:pt>
                  <c:pt idx="107">
                    <c:v>Negative</c:v>
                  </c:pt>
                  <c:pt idx="108">
                    <c:v>Negative</c:v>
                  </c:pt>
                  <c:pt idx="109">
                    <c:v>Positive</c:v>
                  </c:pt>
                  <c:pt idx="110">
                    <c:v>Positive</c:v>
                  </c:pt>
                  <c:pt idx="111">
                    <c:v>Negative</c:v>
                  </c:pt>
                  <c:pt idx="112">
                    <c:v>Neutral</c:v>
                  </c:pt>
                  <c:pt idx="113">
                    <c:v>Positive</c:v>
                  </c:pt>
                  <c:pt idx="114">
                    <c:v>Positive</c:v>
                  </c:pt>
                  <c:pt idx="115">
                    <c:v>Negative</c:v>
                  </c:pt>
                  <c:pt idx="116">
                    <c:v>Positive</c:v>
                  </c:pt>
                  <c:pt idx="117">
                    <c:v>Neutral</c:v>
                  </c:pt>
                  <c:pt idx="118">
                    <c:v>Neutral</c:v>
                  </c:pt>
                  <c:pt idx="119">
                    <c:v>Negative</c:v>
                  </c:pt>
                </c:lvl>
                <c:lvl>
                  <c:pt idx="0">
                    <c:v>The product was launched today</c:v>
                  </c:pt>
                  <c:pt idx="1">
                    <c:v>Great service and amazing experience</c:v>
                  </c:pt>
                  <c:pt idx="2">
                    <c:v>Great service and amazing experience</c:v>
                  </c:pt>
                  <c:pt idx="3">
                    <c:v>Customer support is very slow</c:v>
                  </c:pt>
                  <c:pt idx="4">
                    <c:v>Not satisfied with the service</c:v>
                  </c:pt>
                  <c:pt idx="5">
                    <c:v>Great service and amazing experience</c:v>
                  </c:pt>
                  <c:pt idx="6">
                    <c:v>Terrible experience with the app</c:v>
                  </c:pt>
                  <c:pt idx="7">
                    <c:v>This is an informational post</c:v>
                  </c:pt>
                  <c:pt idx="8">
                    <c:v>Very helpful and easy to use</c:v>
                  </c:pt>
                  <c:pt idx="9">
                    <c:v>This is an informational post</c:v>
                  </c:pt>
                  <c:pt idx="10">
                    <c:v>The product was launched today</c:v>
                  </c:pt>
                  <c:pt idx="11">
                    <c:v>The update introduced many bugs</c:v>
                  </c:pt>
                  <c:pt idx="12">
                    <c:v>Loved the new feature</c:v>
                  </c:pt>
                  <c:pt idx="13">
                    <c:v>This is an informational post</c:v>
                  </c:pt>
                  <c:pt idx="14">
                    <c:v>Very helpful and easy to use</c:v>
                  </c:pt>
                  <c:pt idx="15">
                    <c:v>The event starts next week</c:v>
                  </c:pt>
                  <c:pt idx="16">
                    <c:v>Terrible experience with the app</c:v>
                  </c:pt>
                  <c:pt idx="17">
                    <c:v>Terrible experience with the app</c:v>
                  </c:pt>
                  <c:pt idx="18">
                    <c:v>The product was launched today</c:v>
                  </c:pt>
                  <c:pt idx="19">
                    <c:v>Customer support is very slow</c:v>
                  </c:pt>
                  <c:pt idx="20">
                    <c:v>I tried the feature yesterday</c:v>
                  </c:pt>
                  <c:pt idx="21">
                    <c:v>I tried the feature yesterday</c:v>
                  </c:pt>
                  <c:pt idx="22">
                    <c:v>Very helpful and easy to use</c:v>
                  </c:pt>
                  <c:pt idx="23">
                    <c:v>Great service and amazing experience</c:v>
                  </c:pt>
                  <c:pt idx="24">
                    <c:v>I tried the feature yesterday</c:v>
                  </c:pt>
                  <c:pt idx="25">
                    <c:v>The event starts next week</c:v>
                  </c:pt>
                  <c:pt idx="26">
                    <c:v>This is an informational post</c:v>
                  </c:pt>
                  <c:pt idx="27">
                    <c:v>Terrible experience with the app</c:v>
                  </c:pt>
                  <c:pt idx="28">
                    <c:v>The product was launched today</c:v>
                  </c:pt>
                  <c:pt idx="29">
                    <c:v>I tried the feature yesterday</c:v>
                  </c:pt>
                  <c:pt idx="30">
                    <c:v>The event starts next week</c:v>
                  </c:pt>
                  <c:pt idx="31">
                    <c:v>The event starts next week</c:v>
                  </c:pt>
                  <c:pt idx="32">
                    <c:v>The product was launched today</c:v>
                  </c:pt>
                  <c:pt idx="33">
                    <c:v>Loved the new feature</c:v>
                  </c:pt>
                  <c:pt idx="34">
                    <c:v>Customer support is very slow</c:v>
                  </c:pt>
                  <c:pt idx="35">
                    <c:v>The product was launched today</c:v>
                  </c:pt>
                  <c:pt idx="36">
                    <c:v>Excellent customer support</c:v>
                  </c:pt>
                  <c:pt idx="37">
                    <c:v>Not satisfied with the service</c:v>
                  </c:pt>
                  <c:pt idx="38">
                    <c:v>Great service and amazing experience</c:v>
                  </c:pt>
                  <c:pt idx="39">
                    <c:v>I tried the feature yesterday</c:v>
                  </c:pt>
                  <c:pt idx="40">
                    <c:v>I tried the feature yesterday</c:v>
                  </c:pt>
                  <c:pt idx="41">
                    <c:v>Great service and amazing experience</c:v>
                  </c:pt>
                  <c:pt idx="42">
                    <c:v>Customer support is very slow</c:v>
                  </c:pt>
                  <c:pt idx="43">
                    <c:v>Not satisfied with the service</c:v>
                  </c:pt>
                  <c:pt idx="44">
                    <c:v>Loved the new feature</c:v>
                  </c:pt>
                  <c:pt idx="45">
                    <c:v>Very helpful and easy to use</c:v>
                  </c:pt>
                  <c:pt idx="46">
                    <c:v>Terrible experience with the app</c:v>
                  </c:pt>
                  <c:pt idx="47">
                    <c:v>Great service and amazing experience</c:v>
                  </c:pt>
                  <c:pt idx="48">
                    <c:v>This is an informational post</c:v>
                  </c:pt>
                  <c:pt idx="49">
                    <c:v>Excellent customer support</c:v>
                  </c:pt>
                  <c:pt idx="50">
                    <c:v>This is an informational post</c:v>
                  </c:pt>
                  <c:pt idx="51">
                    <c:v>Great service and amazing experience</c:v>
                  </c:pt>
                  <c:pt idx="52">
                    <c:v>I tried the feature yesterday</c:v>
                  </c:pt>
                  <c:pt idx="53">
                    <c:v>Customer support is very slow</c:v>
                  </c:pt>
                  <c:pt idx="54">
                    <c:v>I tried the feature yesterday</c:v>
                  </c:pt>
                  <c:pt idx="55">
                    <c:v>Very helpful and easy to use</c:v>
                  </c:pt>
                  <c:pt idx="56">
                    <c:v>Terrible experience with the app</c:v>
                  </c:pt>
                  <c:pt idx="57">
                    <c:v>Customer support is very slow</c:v>
                  </c:pt>
                  <c:pt idx="58">
                    <c:v>Terrible experience with the app</c:v>
                  </c:pt>
                  <c:pt idx="59">
                    <c:v>This is an informational post</c:v>
                  </c:pt>
                  <c:pt idx="60">
                    <c:v>Great service and amazing experience</c:v>
                  </c:pt>
                  <c:pt idx="61">
                    <c:v>The product was launched today</c:v>
                  </c:pt>
                  <c:pt idx="62">
                    <c:v>Loved the new feature</c:v>
                  </c:pt>
                  <c:pt idx="63">
                    <c:v>This is an informational post</c:v>
                  </c:pt>
                  <c:pt idx="64">
                    <c:v>The update introduced many bugs</c:v>
                  </c:pt>
                  <c:pt idx="65">
                    <c:v>I tried the feature yesterday</c:v>
                  </c:pt>
                  <c:pt idx="66">
                    <c:v>Customer support is very slow</c:v>
                  </c:pt>
                  <c:pt idx="67">
                    <c:v>Excellent customer support</c:v>
                  </c:pt>
                  <c:pt idx="68">
                    <c:v>This is an informational post</c:v>
                  </c:pt>
                  <c:pt idx="69">
                    <c:v>Great service and amazing experience</c:v>
                  </c:pt>
                  <c:pt idx="70">
                    <c:v>The update introduced many bugs</c:v>
                  </c:pt>
                  <c:pt idx="71">
                    <c:v>Customer support is very slow</c:v>
                  </c:pt>
                  <c:pt idx="72">
                    <c:v>Excellent customer support</c:v>
                  </c:pt>
                  <c:pt idx="73">
                    <c:v>This is an informational post</c:v>
                  </c:pt>
                  <c:pt idx="74">
                    <c:v>The update introduced many bugs</c:v>
                  </c:pt>
                  <c:pt idx="75">
                    <c:v>The event starts next week</c:v>
                  </c:pt>
                  <c:pt idx="76">
                    <c:v>Very helpful and easy to use</c:v>
                  </c:pt>
                  <c:pt idx="77">
                    <c:v>Excellent customer support</c:v>
                  </c:pt>
                  <c:pt idx="78">
                    <c:v>The event starts next week</c:v>
                  </c:pt>
                  <c:pt idx="79">
                    <c:v>The product was launched today</c:v>
                  </c:pt>
                  <c:pt idx="80">
                    <c:v>The update introduced many bugs</c:v>
                  </c:pt>
                  <c:pt idx="81">
                    <c:v>Terrible experience with the app</c:v>
                  </c:pt>
                  <c:pt idx="82">
                    <c:v>Excellent customer support</c:v>
                  </c:pt>
                  <c:pt idx="83">
                    <c:v>Great service and amazing experience</c:v>
                  </c:pt>
                  <c:pt idx="84">
                    <c:v>Not satisfied with the service</c:v>
                  </c:pt>
                  <c:pt idx="85">
                    <c:v>The update introduced many bugs</c:v>
                  </c:pt>
                  <c:pt idx="86">
                    <c:v>Very helpful and easy to use</c:v>
                  </c:pt>
                  <c:pt idx="87">
                    <c:v>Loved the new feature</c:v>
                  </c:pt>
                  <c:pt idx="88">
                    <c:v>Loved the new feature</c:v>
                  </c:pt>
                  <c:pt idx="89">
                    <c:v>The product was launched today</c:v>
                  </c:pt>
                  <c:pt idx="90">
                    <c:v>The event starts next week</c:v>
                  </c:pt>
                  <c:pt idx="91">
                    <c:v>Great service and amazing experience</c:v>
                  </c:pt>
                  <c:pt idx="92">
                    <c:v>The event starts next week</c:v>
                  </c:pt>
                  <c:pt idx="93">
                    <c:v>The update introduced many bugs</c:v>
                  </c:pt>
                  <c:pt idx="94">
                    <c:v>Excellent customer support</c:v>
                  </c:pt>
                  <c:pt idx="95">
                    <c:v>The update introduced many bugs</c:v>
                  </c:pt>
                  <c:pt idx="96">
                    <c:v>The update introduced many bugs</c:v>
                  </c:pt>
                  <c:pt idx="97">
                    <c:v>Terrible experience with the app</c:v>
                  </c:pt>
                  <c:pt idx="98">
                    <c:v>Not satisfied with the service</c:v>
                  </c:pt>
                  <c:pt idx="99">
                    <c:v>Loved the new feature</c:v>
                  </c:pt>
                  <c:pt idx="100">
                    <c:v>The update introduced many bugs</c:v>
                  </c:pt>
                  <c:pt idx="101">
                    <c:v>I tried the feature yesterday</c:v>
                  </c:pt>
                  <c:pt idx="102">
                    <c:v>Not satisfied with the service</c:v>
                  </c:pt>
                  <c:pt idx="103">
                    <c:v>Loved the new feature</c:v>
                  </c:pt>
                  <c:pt idx="104">
                    <c:v>Loved the new feature</c:v>
                  </c:pt>
                  <c:pt idx="105">
                    <c:v>This is an informational post</c:v>
                  </c:pt>
                  <c:pt idx="106">
                    <c:v>Terrible experience with the app</c:v>
                  </c:pt>
                  <c:pt idx="107">
                    <c:v>Customer support is very slow</c:v>
                  </c:pt>
                  <c:pt idx="108">
                    <c:v>The update introduced many bugs</c:v>
                  </c:pt>
                  <c:pt idx="109">
                    <c:v>Excellent customer support</c:v>
                  </c:pt>
                  <c:pt idx="110">
                    <c:v>Loved the new feature</c:v>
                  </c:pt>
                  <c:pt idx="111">
                    <c:v>Customer support is very slow</c:v>
                  </c:pt>
                  <c:pt idx="112">
                    <c:v>The event starts next week</c:v>
                  </c:pt>
                  <c:pt idx="113">
                    <c:v>Loved the new feature</c:v>
                  </c:pt>
                  <c:pt idx="114">
                    <c:v>Loved the new feature</c:v>
                  </c:pt>
                  <c:pt idx="115">
                    <c:v>Terrible experience with the app</c:v>
                  </c:pt>
                  <c:pt idx="116">
                    <c:v>Loved the new feature</c:v>
                  </c:pt>
                  <c:pt idx="117">
                    <c:v>I tried the feature yesterday</c:v>
                  </c:pt>
                  <c:pt idx="118">
                    <c:v>This is an informational post</c:v>
                  </c:pt>
                  <c:pt idx="119">
                    <c:v>Not satisfied with the service</c:v>
                  </c:pt>
                </c:lvl>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pt idx="40">
                    <c:v>2/10/2025</c:v>
                  </c:pt>
                  <c:pt idx="41">
                    <c:v>2/11/2025</c:v>
                  </c:pt>
                  <c:pt idx="42">
                    <c:v>2/12/2025</c:v>
                  </c:pt>
                  <c:pt idx="43">
                    <c:v>2/13/2025</c:v>
                  </c:pt>
                  <c:pt idx="44">
                    <c:v>2/14/2025</c:v>
                  </c:pt>
                  <c:pt idx="45">
                    <c:v>2/15/2025</c:v>
                  </c:pt>
                  <c:pt idx="46">
                    <c:v>2/16/2025</c:v>
                  </c:pt>
                  <c:pt idx="47">
                    <c:v>2/17/2025</c:v>
                  </c:pt>
                  <c:pt idx="48">
                    <c:v>2/18/2025</c:v>
                  </c:pt>
                  <c:pt idx="49">
                    <c:v>2/19/2025</c:v>
                  </c:pt>
                  <c:pt idx="50">
                    <c:v>2/20/2025</c:v>
                  </c:pt>
                  <c:pt idx="51">
                    <c:v>2/21/2025</c:v>
                  </c:pt>
                  <c:pt idx="52">
                    <c:v>2/22/2025</c:v>
                  </c:pt>
                  <c:pt idx="53">
                    <c:v>2/23/2025</c:v>
                  </c:pt>
                  <c:pt idx="54">
                    <c:v>2/24/2025</c:v>
                  </c:pt>
                  <c:pt idx="55">
                    <c:v>2/25/2025</c:v>
                  </c:pt>
                  <c:pt idx="56">
                    <c:v>2/26/2025</c:v>
                  </c:pt>
                  <c:pt idx="57">
                    <c:v>2/27/2025</c:v>
                  </c:pt>
                  <c:pt idx="58">
                    <c:v>2/28/2025</c:v>
                  </c:pt>
                  <c:pt idx="59">
                    <c:v>3/1/2025</c:v>
                  </c:pt>
                  <c:pt idx="60">
                    <c:v>3/2/2025</c:v>
                  </c:pt>
                  <c:pt idx="61">
                    <c:v>3/3/2025</c:v>
                  </c:pt>
                  <c:pt idx="62">
                    <c:v>3/4/2025</c:v>
                  </c:pt>
                  <c:pt idx="63">
                    <c:v>3/5/2025</c:v>
                  </c:pt>
                  <c:pt idx="64">
                    <c:v>3/6/2025</c:v>
                  </c:pt>
                  <c:pt idx="65">
                    <c:v>3/7/2025</c:v>
                  </c:pt>
                  <c:pt idx="66">
                    <c:v>3/8/2025</c:v>
                  </c:pt>
                  <c:pt idx="67">
                    <c:v>3/9/2025</c:v>
                  </c:pt>
                  <c:pt idx="68">
                    <c:v>3/10/2025</c:v>
                  </c:pt>
                  <c:pt idx="69">
                    <c:v>3/11/2025</c:v>
                  </c:pt>
                  <c:pt idx="70">
                    <c:v>3/12/2025</c:v>
                  </c:pt>
                  <c:pt idx="71">
                    <c:v>3/13/2025</c:v>
                  </c:pt>
                  <c:pt idx="72">
                    <c:v>3/14/2025</c:v>
                  </c:pt>
                  <c:pt idx="73">
                    <c:v>3/15/2025</c:v>
                  </c:pt>
                  <c:pt idx="74">
                    <c:v>3/16/2025</c:v>
                  </c:pt>
                  <c:pt idx="75">
                    <c:v>3/17/2025</c:v>
                  </c:pt>
                  <c:pt idx="76">
                    <c:v>3/18/2025</c:v>
                  </c:pt>
                  <c:pt idx="77">
                    <c:v>3/19/2025</c:v>
                  </c:pt>
                  <c:pt idx="78">
                    <c:v>3/20/2025</c:v>
                  </c:pt>
                  <c:pt idx="79">
                    <c:v>3/21/2025</c:v>
                  </c:pt>
                  <c:pt idx="80">
                    <c:v>3/22/2025</c:v>
                  </c:pt>
                  <c:pt idx="81">
                    <c:v>3/23/2025</c:v>
                  </c:pt>
                  <c:pt idx="82">
                    <c:v>3/24/2025</c:v>
                  </c:pt>
                  <c:pt idx="83">
                    <c:v>3/25/2025</c:v>
                  </c:pt>
                  <c:pt idx="84">
                    <c:v>3/26/2025</c:v>
                  </c:pt>
                  <c:pt idx="85">
                    <c:v>3/27/2025</c:v>
                  </c:pt>
                  <c:pt idx="86">
                    <c:v>3/28/2025</c:v>
                  </c:pt>
                  <c:pt idx="87">
                    <c:v>3/29/2025</c:v>
                  </c:pt>
                  <c:pt idx="88">
                    <c:v>3/30/2025</c:v>
                  </c:pt>
                  <c:pt idx="89">
                    <c:v>3/31/2025</c:v>
                  </c:pt>
                  <c:pt idx="90">
                    <c:v>4/1/2025</c:v>
                  </c:pt>
                  <c:pt idx="91">
                    <c:v>4/2/2025</c:v>
                  </c:pt>
                  <c:pt idx="92">
                    <c:v>4/3/2025</c:v>
                  </c:pt>
                  <c:pt idx="93">
                    <c:v>4/4/2025</c:v>
                  </c:pt>
                  <c:pt idx="94">
                    <c:v>4/5/2025</c:v>
                  </c:pt>
                  <c:pt idx="95">
                    <c:v>4/6/2025</c:v>
                  </c:pt>
                  <c:pt idx="96">
                    <c:v>4/7/2025</c:v>
                  </c:pt>
                  <c:pt idx="97">
                    <c:v>4/8/2025</c:v>
                  </c:pt>
                  <c:pt idx="98">
                    <c:v>4/9/2025</c:v>
                  </c:pt>
                  <c:pt idx="99">
                    <c:v>4/10/2025</c:v>
                  </c:pt>
                  <c:pt idx="100">
                    <c:v>4/11/2025</c:v>
                  </c:pt>
                  <c:pt idx="101">
                    <c:v>4/12/2025</c:v>
                  </c:pt>
                  <c:pt idx="102">
                    <c:v>4/13/2025</c:v>
                  </c:pt>
                  <c:pt idx="103">
                    <c:v>4/14/2025</c:v>
                  </c:pt>
                  <c:pt idx="104">
                    <c:v>4/15/2025</c:v>
                  </c:pt>
                  <c:pt idx="105">
                    <c:v>4/16/2025</c:v>
                  </c:pt>
                  <c:pt idx="106">
                    <c:v>4/17/2025</c:v>
                  </c:pt>
                  <c:pt idx="107">
                    <c:v>4/18/2025</c:v>
                  </c:pt>
                  <c:pt idx="108">
                    <c:v>4/19/2025</c:v>
                  </c:pt>
                  <c:pt idx="109">
                    <c:v>4/20/2025</c:v>
                  </c:pt>
                  <c:pt idx="110">
                    <c:v>4/21/2025</c:v>
                  </c:pt>
                  <c:pt idx="111">
                    <c:v>4/22/2025</c:v>
                  </c:pt>
                  <c:pt idx="112">
                    <c:v>4/23/2025</c:v>
                  </c:pt>
                  <c:pt idx="113">
                    <c:v>4/24/2025</c:v>
                  </c:pt>
                  <c:pt idx="114">
                    <c:v>4/25/2025</c:v>
                  </c:pt>
                  <c:pt idx="115">
                    <c:v>4/26/2025</c:v>
                  </c:pt>
                  <c:pt idx="116">
                    <c:v>4/27/2025</c:v>
                  </c:pt>
                  <c:pt idx="117">
                    <c:v>4/28/2025</c:v>
                  </c:pt>
                  <c:pt idx="118">
                    <c:v>4/29/2025</c:v>
                  </c:pt>
                  <c:pt idx="119">
                    <c:v>4/30/2025</c:v>
                  </c:pt>
                </c:lvl>
                <c:lvl>
                  <c:pt idx="0">
                    <c:v>Jan</c:v>
                  </c:pt>
                  <c:pt idx="1">
                    <c:v>Jan</c:v>
                  </c:pt>
                  <c:pt idx="2">
                    <c:v>Jan</c:v>
                  </c:pt>
                  <c:pt idx="3">
                    <c:v>Jan</c:v>
                  </c:pt>
                  <c:pt idx="4">
                    <c:v>Jan</c:v>
                  </c:pt>
                  <c:pt idx="5">
                    <c:v>Jan</c:v>
                  </c:pt>
                  <c:pt idx="6">
                    <c:v>Jan</c:v>
                  </c:pt>
                  <c:pt idx="7">
                    <c:v>Jan</c:v>
                  </c:pt>
                  <c:pt idx="8">
                    <c:v>Jan</c:v>
                  </c:pt>
                  <c:pt idx="9">
                    <c:v>Jan</c:v>
                  </c:pt>
                  <c:pt idx="10">
                    <c:v>Jan</c:v>
                  </c:pt>
                  <c:pt idx="11">
                    <c:v>Jan</c:v>
                  </c:pt>
                  <c:pt idx="12">
                    <c:v>Jan</c:v>
                  </c:pt>
                  <c:pt idx="13">
                    <c:v>Jan</c:v>
                  </c:pt>
                  <c:pt idx="14">
                    <c:v>Jan</c:v>
                  </c:pt>
                  <c:pt idx="15">
                    <c:v>Jan</c:v>
                  </c:pt>
                  <c:pt idx="16">
                    <c:v>Jan</c:v>
                  </c:pt>
                  <c:pt idx="17">
                    <c:v>Jan</c:v>
                  </c:pt>
                  <c:pt idx="18">
                    <c:v>Jan</c:v>
                  </c:pt>
                  <c:pt idx="19">
                    <c:v>Jan</c:v>
                  </c:pt>
                  <c:pt idx="20">
                    <c:v>Jan</c:v>
                  </c:pt>
                  <c:pt idx="21">
                    <c:v>Jan</c:v>
                  </c:pt>
                  <c:pt idx="22">
                    <c:v>Jan</c:v>
                  </c:pt>
                  <c:pt idx="23">
                    <c:v>Jan</c:v>
                  </c:pt>
                  <c:pt idx="24">
                    <c:v>Jan</c:v>
                  </c:pt>
                  <c:pt idx="25">
                    <c:v>Jan</c:v>
                  </c:pt>
                  <c:pt idx="26">
                    <c:v>Jan</c:v>
                  </c:pt>
                  <c:pt idx="27">
                    <c:v>Jan</c:v>
                  </c:pt>
                  <c:pt idx="28">
                    <c:v>Jan</c:v>
                  </c:pt>
                  <c:pt idx="29">
                    <c:v>Jan</c:v>
                  </c:pt>
                  <c:pt idx="30">
                    <c:v>Jan</c:v>
                  </c:pt>
                  <c:pt idx="31">
                    <c:v>Feb</c:v>
                  </c:pt>
                  <c:pt idx="32">
                    <c:v>Feb</c:v>
                  </c:pt>
                  <c:pt idx="33">
                    <c:v>Feb</c:v>
                  </c:pt>
                  <c:pt idx="34">
                    <c:v>Feb</c:v>
                  </c:pt>
                  <c:pt idx="35">
                    <c:v>Feb</c:v>
                  </c:pt>
                  <c:pt idx="36">
                    <c:v>Feb</c:v>
                  </c:pt>
                  <c:pt idx="37">
                    <c:v>Feb</c:v>
                  </c:pt>
                  <c:pt idx="38">
                    <c:v>Feb</c:v>
                  </c:pt>
                  <c:pt idx="39">
                    <c:v>Feb</c:v>
                  </c:pt>
                  <c:pt idx="40">
                    <c:v>Feb</c:v>
                  </c:pt>
                  <c:pt idx="41">
                    <c:v>Feb</c:v>
                  </c:pt>
                  <c:pt idx="42">
                    <c:v>Feb</c:v>
                  </c:pt>
                  <c:pt idx="43">
                    <c:v>Feb</c:v>
                  </c:pt>
                  <c:pt idx="44">
                    <c:v>Feb</c:v>
                  </c:pt>
                  <c:pt idx="45">
                    <c:v>Feb</c:v>
                  </c:pt>
                  <c:pt idx="46">
                    <c:v>Feb</c:v>
                  </c:pt>
                  <c:pt idx="47">
                    <c:v>Feb</c:v>
                  </c:pt>
                  <c:pt idx="48">
                    <c:v>Feb</c:v>
                  </c:pt>
                  <c:pt idx="49">
                    <c:v>Feb</c:v>
                  </c:pt>
                  <c:pt idx="50">
                    <c:v>Feb</c:v>
                  </c:pt>
                  <c:pt idx="51">
                    <c:v>Feb</c:v>
                  </c:pt>
                  <c:pt idx="52">
                    <c:v>Feb</c:v>
                  </c:pt>
                  <c:pt idx="53">
                    <c:v>Feb</c:v>
                  </c:pt>
                  <c:pt idx="54">
                    <c:v>Feb</c:v>
                  </c:pt>
                  <c:pt idx="55">
                    <c:v>Feb</c:v>
                  </c:pt>
                  <c:pt idx="56">
                    <c:v>Feb</c:v>
                  </c:pt>
                  <c:pt idx="57">
                    <c:v>Feb</c:v>
                  </c:pt>
                  <c:pt idx="58">
                    <c:v>Feb</c:v>
                  </c:pt>
                  <c:pt idx="59">
                    <c:v>Mar</c:v>
                  </c:pt>
                  <c:pt idx="60">
                    <c:v>Mar</c:v>
                  </c:pt>
                  <c:pt idx="61">
                    <c:v>Mar</c:v>
                  </c:pt>
                  <c:pt idx="62">
                    <c:v>Mar</c:v>
                  </c:pt>
                  <c:pt idx="63">
                    <c:v>Mar</c:v>
                  </c:pt>
                  <c:pt idx="64">
                    <c:v>Mar</c:v>
                  </c:pt>
                  <c:pt idx="65">
                    <c:v>Mar</c:v>
                  </c:pt>
                  <c:pt idx="66">
                    <c:v>Mar</c:v>
                  </c:pt>
                  <c:pt idx="67">
                    <c:v>Mar</c:v>
                  </c:pt>
                  <c:pt idx="68">
                    <c:v>Mar</c:v>
                  </c:pt>
                  <c:pt idx="69">
                    <c:v>Mar</c:v>
                  </c:pt>
                  <c:pt idx="70">
                    <c:v>Mar</c:v>
                  </c:pt>
                  <c:pt idx="71">
                    <c:v>Mar</c:v>
                  </c:pt>
                  <c:pt idx="72">
                    <c:v>Mar</c:v>
                  </c:pt>
                  <c:pt idx="73">
                    <c:v>Mar</c:v>
                  </c:pt>
                  <c:pt idx="74">
                    <c:v>Mar</c:v>
                  </c:pt>
                  <c:pt idx="75">
                    <c:v>Mar</c:v>
                  </c:pt>
                  <c:pt idx="76">
                    <c:v>Mar</c:v>
                  </c:pt>
                  <c:pt idx="77">
                    <c:v>Mar</c:v>
                  </c:pt>
                  <c:pt idx="78">
                    <c:v>Mar</c:v>
                  </c:pt>
                  <c:pt idx="79">
                    <c:v>Mar</c:v>
                  </c:pt>
                  <c:pt idx="80">
                    <c:v>Mar</c:v>
                  </c:pt>
                  <c:pt idx="81">
                    <c:v>Mar</c:v>
                  </c:pt>
                  <c:pt idx="82">
                    <c:v>Mar</c:v>
                  </c:pt>
                  <c:pt idx="83">
                    <c:v>Mar</c:v>
                  </c:pt>
                  <c:pt idx="84">
                    <c:v>Mar</c:v>
                  </c:pt>
                  <c:pt idx="85">
                    <c:v>Mar</c:v>
                  </c:pt>
                  <c:pt idx="86">
                    <c:v>Mar</c:v>
                  </c:pt>
                  <c:pt idx="87">
                    <c:v>Mar</c:v>
                  </c:pt>
                  <c:pt idx="88">
                    <c:v>Mar</c:v>
                  </c:pt>
                  <c:pt idx="89">
                    <c:v>Mar</c:v>
                  </c:pt>
                  <c:pt idx="90">
                    <c:v>Apr</c:v>
                  </c:pt>
                  <c:pt idx="91">
                    <c:v>Apr</c:v>
                  </c:pt>
                  <c:pt idx="92">
                    <c:v>Apr</c:v>
                  </c:pt>
                  <c:pt idx="93">
                    <c:v>Apr</c:v>
                  </c:pt>
                  <c:pt idx="94">
                    <c:v>Apr</c:v>
                  </c:pt>
                  <c:pt idx="95">
                    <c:v>Apr</c:v>
                  </c:pt>
                  <c:pt idx="96">
                    <c:v>Apr</c:v>
                  </c:pt>
                  <c:pt idx="97">
                    <c:v>Apr</c:v>
                  </c:pt>
                  <c:pt idx="98">
                    <c:v>Apr</c:v>
                  </c:pt>
                  <c:pt idx="99">
                    <c:v>Apr</c:v>
                  </c:pt>
                  <c:pt idx="100">
                    <c:v>Apr</c:v>
                  </c:pt>
                  <c:pt idx="101">
                    <c:v>Apr</c:v>
                  </c:pt>
                  <c:pt idx="102">
                    <c:v>Apr</c:v>
                  </c:pt>
                  <c:pt idx="103">
                    <c:v>Apr</c:v>
                  </c:pt>
                  <c:pt idx="104">
                    <c:v>Apr</c:v>
                  </c:pt>
                  <c:pt idx="105">
                    <c:v>Apr</c:v>
                  </c:pt>
                  <c:pt idx="106">
                    <c:v>Apr</c:v>
                  </c:pt>
                  <c:pt idx="107">
                    <c:v>Apr</c:v>
                  </c:pt>
                  <c:pt idx="108">
                    <c:v>Apr</c:v>
                  </c:pt>
                  <c:pt idx="109">
                    <c:v>Apr</c:v>
                  </c:pt>
                  <c:pt idx="110">
                    <c:v>Apr</c:v>
                  </c:pt>
                  <c:pt idx="111">
                    <c:v>Apr</c:v>
                  </c:pt>
                  <c:pt idx="112">
                    <c:v>Apr</c:v>
                  </c:pt>
                  <c:pt idx="113">
                    <c:v>Apr</c:v>
                  </c:pt>
                  <c:pt idx="114">
                    <c:v>Apr</c:v>
                  </c:pt>
                  <c:pt idx="115">
                    <c:v>Apr</c:v>
                  </c:pt>
                  <c:pt idx="116">
                    <c:v>Apr</c:v>
                  </c:pt>
                  <c:pt idx="117">
                    <c:v>Apr</c:v>
                  </c:pt>
                  <c:pt idx="118">
                    <c:v>Apr</c:v>
                  </c:pt>
                  <c:pt idx="119">
                    <c:v>Apr</c:v>
                  </c:pt>
                </c:lvl>
                <c:lvl>
                  <c:pt idx="0">
                    <c:v>Facebook</c:v>
                  </c:pt>
                  <c:pt idx="1">
                    <c:v>LinkedIn</c:v>
                  </c:pt>
                  <c:pt idx="2">
                    <c:v>Instagram</c:v>
                  </c:pt>
                  <c:pt idx="3">
                    <c:v>Facebook</c:v>
                  </c:pt>
                  <c:pt idx="4">
                    <c:v>Instagram</c:v>
                  </c:pt>
                  <c:pt idx="5">
                    <c:v>Twitter</c:v>
                  </c:pt>
                  <c:pt idx="6">
                    <c:v>Twitter</c:v>
                  </c:pt>
                  <c:pt idx="7">
                    <c:v>Instagram</c:v>
                  </c:pt>
                  <c:pt idx="8">
                    <c:v>Instagram</c:v>
                  </c:pt>
                  <c:pt idx="9">
                    <c:v>Facebook</c:v>
                  </c:pt>
                  <c:pt idx="10">
                    <c:v>Instagram</c:v>
                  </c:pt>
                  <c:pt idx="11">
                    <c:v>Instagram</c:v>
                  </c:pt>
                  <c:pt idx="12">
                    <c:v>Facebook</c:v>
                  </c:pt>
                  <c:pt idx="13">
                    <c:v>LinkedIn</c:v>
                  </c:pt>
                  <c:pt idx="14">
                    <c:v>Instagram</c:v>
                  </c:pt>
                  <c:pt idx="15">
                    <c:v>LinkedIn</c:v>
                  </c:pt>
                  <c:pt idx="16">
                    <c:v>Twitter</c:v>
                  </c:pt>
                  <c:pt idx="17">
                    <c:v>LinkedIn</c:v>
                  </c:pt>
                  <c:pt idx="18">
                    <c:v>Facebook</c:v>
                  </c:pt>
                  <c:pt idx="19">
                    <c:v>Twitter</c:v>
                  </c:pt>
                  <c:pt idx="20">
                    <c:v>Twitter</c:v>
                  </c:pt>
                  <c:pt idx="21">
                    <c:v>Facebook</c:v>
                  </c:pt>
                  <c:pt idx="22">
                    <c:v>Twitter</c:v>
                  </c:pt>
                  <c:pt idx="23">
                    <c:v>Twitter</c:v>
                  </c:pt>
                  <c:pt idx="24">
                    <c:v>LinkedIn</c:v>
                  </c:pt>
                  <c:pt idx="25">
                    <c:v>Instagram</c:v>
                  </c:pt>
                  <c:pt idx="26">
                    <c:v>LinkedIn</c:v>
                  </c:pt>
                  <c:pt idx="27">
                    <c:v>Instagram</c:v>
                  </c:pt>
                  <c:pt idx="28">
                    <c:v>Twitter</c:v>
                  </c:pt>
                  <c:pt idx="29">
                    <c:v>LinkedIn</c:v>
                  </c:pt>
                  <c:pt idx="30">
                    <c:v>LinkedIn</c:v>
                  </c:pt>
                  <c:pt idx="31">
                    <c:v>LinkedIn</c:v>
                  </c:pt>
                  <c:pt idx="32">
                    <c:v>LinkedIn</c:v>
                  </c:pt>
                  <c:pt idx="33">
                    <c:v>LinkedIn</c:v>
                  </c:pt>
                  <c:pt idx="34">
                    <c:v>LinkedIn</c:v>
                  </c:pt>
                  <c:pt idx="35">
                    <c:v>Instagram</c:v>
                  </c:pt>
                  <c:pt idx="36">
                    <c:v>Instagram</c:v>
                  </c:pt>
                  <c:pt idx="37">
                    <c:v>LinkedIn</c:v>
                  </c:pt>
                  <c:pt idx="38">
                    <c:v>Twitter</c:v>
                  </c:pt>
                  <c:pt idx="39">
                    <c:v>Twitter</c:v>
                  </c:pt>
                  <c:pt idx="40">
                    <c:v>Twitter</c:v>
                  </c:pt>
                  <c:pt idx="41">
                    <c:v>Facebook</c:v>
                  </c:pt>
                  <c:pt idx="42">
                    <c:v>LinkedIn</c:v>
                  </c:pt>
                  <c:pt idx="43">
                    <c:v>Twitter</c:v>
                  </c:pt>
                  <c:pt idx="44">
                    <c:v>Facebook</c:v>
                  </c:pt>
                  <c:pt idx="45">
                    <c:v>Instagram</c:v>
                  </c:pt>
                  <c:pt idx="46">
                    <c:v>Facebook</c:v>
                  </c:pt>
                  <c:pt idx="47">
                    <c:v>Instagram</c:v>
                  </c:pt>
                  <c:pt idx="48">
                    <c:v>Facebook</c:v>
                  </c:pt>
                  <c:pt idx="49">
                    <c:v>Twitter</c:v>
                  </c:pt>
                  <c:pt idx="50">
                    <c:v>LinkedIn</c:v>
                  </c:pt>
                  <c:pt idx="51">
                    <c:v>Instagram</c:v>
                  </c:pt>
                  <c:pt idx="52">
                    <c:v>Instagram</c:v>
                  </c:pt>
                  <c:pt idx="53">
                    <c:v>Twitter</c:v>
                  </c:pt>
                  <c:pt idx="54">
                    <c:v>Instagram</c:v>
                  </c:pt>
                  <c:pt idx="55">
                    <c:v>Instagram</c:v>
                  </c:pt>
                  <c:pt idx="56">
                    <c:v>Instagram</c:v>
                  </c:pt>
                  <c:pt idx="57">
                    <c:v>Twitter</c:v>
                  </c:pt>
                  <c:pt idx="58">
                    <c:v>Facebook</c:v>
                  </c:pt>
                  <c:pt idx="59">
                    <c:v>Twitter</c:v>
                  </c:pt>
                  <c:pt idx="60">
                    <c:v>LinkedIn</c:v>
                  </c:pt>
                  <c:pt idx="61">
                    <c:v>Instagram</c:v>
                  </c:pt>
                  <c:pt idx="62">
                    <c:v>LinkedIn</c:v>
                  </c:pt>
                  <c:pt idx="63">
                    <c:v>Facebook</c:v>
                  </c:pt>
                  <c:pt idx="64">
                    <c:v>Instagram</c:v>
                  </c:pt>
                  <c:pt idx="65">
                    <c:v>Facebook</c:v>
                  </c:pt>
                  <c:pt idx="66">
                    <c:v>Facebook</c:v>
                  </c:pt>
                  <c:pt idx="67">
                    <c:v>Twitter</c:v>
                  </c:pt>
                  <c:pt idx="68">
                    <c:v>Instagram</c:v>
                  </c:pt>
                  <c:pt idx="69">
                    <c:v>Instagram</c:v>
                  </c:pt>
                  <c:pt idx="70">
                    <c:v>Instagram</c:v>
                  </c:pt>
                  <c:pt idx="71">
                    <c:v>Twitter</c:v>
                  </c:pt>
                  <c:pt idx="72">
                    <c:v>Instagram</c:v>
                  </c:pt>
                  <c:pt idx="73">
                    <c:v>LinkedIn</c:v>
                  </c:pt>
                  <c:pt idx="74">
                    <c:v>Instagram</c:v>
                  </c:pt>
                  <c:pt idx="75">
                    <c:v>Facebook</c:v>
                  </c:pt>
                  <c:pt idx="76">
                    <c:v>Facebook</c:v>
                  </c:pt>
                  <c:pt idx="77">
                    <c:v>Instagram</c:v>
                  </c:pt>
                  <c:pt idx="78">
                    <c:v>Twitter</c:v>
                  </c:pt>
                  <c:pt idx="79">
                    <c:v>LinkedIn</c:v>
                  </c:pt>
                  <c:pt idx="80">
                    <c:v>Instagram</c:v>
                  </c:pt>
                  <c:pt idx="81">
                    <c:v>Facebook</c:v>
                  </c:pt>
                  <c:pt idx="82">
                    <c:v>Twitter</c:v>
                  </c:pt>
                  <c:pt idx="83">
                    <c:v>Instagram</c:v>
                  </c:pt>
                  <c:pt idx="84">
                    <c:v>LinkedIn</c:v>
                  </c:pt>
                  <c:pt idx="85">
                    <c:v>Twitter</c:v>
                  </c:pt>
                  <c:pt idx="86">
                    <c:v>Twitter</c:v>
                  </c:pt>
                  <c:pt idx="87">
                    <c:v>Instagram</c:v>
                  </c:pt>
                  <c:pt idx="88">
                    <c:v>Facebook</c:v>
                  </c:pt>
                  <c:pt idx="89">
                    <c:v>Facebook</c:v>
                  </c:pt>
                  <c:pt idx="90">
                    <c:v>Instagram</c:v>
                  </c:pt>
                  <c:pt idx="91">
                    <c:v>Twitter</c:v>
                  </c:pt>
                  <c:pt idx="92">
                    <c:v>Twitter</c:v>
                  </c:pt>
                  <c:pt idx="93">
                    <c:v>LinkedIn</c:v>
                  </c:pt>
                  <c:pt idx="94">
                    <c:v>Facebook</c:v>
                  </c:pt>
                  <c:pt idx="95">
                    <c:v>Facebook</c:v>
                  </c:pt>
                  <c:pt idx="96">
                    <c:v>LinkedIn</c:v>
                  </c:pt>
                  <c:pt idx="97">
                    <c:v>Facebook</c:v>
                  </c:pt>
                  <c:pt idx="98">
                    <c:v>Facebook</c:v>
                  </c:pt>
                  <c:pt idx="99">
                    <c:v>LinkedIn</c:v>
                  </c:pt>
                  <c:pt idx="100">
                    <c:v>Twitter</c:v>
                  </c:pt>
                  <c:pt idx="101">
                    <c:v>Facebook</c:v>
                  </c:pt>
                  <c:pt idx="102">
                    <c:v>LinkedIn</c:v>
                  </c:pt>
                  <c:pt idx="103">
                    <c:v>Twitter</c:v>
                  </c:pt>
                  <c:pt idx="104">
                    <c:v>LinkedIn</c:v>
                  </c:pt>
                  <c:pt idx="105">
                    <c:v>Instagram</c:v>
                  </c:pt>
                  <c:pt idx="106">
                    <c:v>Instagram</c:v>
                  </c:pt>
                  <c:pt idx="107">
                    <c:v>Twitter</c:v>
                  </c:pt>
                  <c:pt idx="108">
                    <c:v>Instagram</c:v>
                  </c:pt>
                  <c:pt idx="109">
                    <c:v>Twitter</c:v>
                  </c:pt>
                  <c:pt idx="110">
                    <c:v>Facebook</c:v>
                  </c:pt>
                  <c:pt idx="111">
                    <c:v>LinkedIn</c:v>
                  </c:pt>
                  <c:pt idx="112">
                    <c:v>Twitter</c:v>
                  </c:pt>
                  <c:pt idx="113">
                    <c:v>Twitter</c:v>
                  </c:pt>
                  <c:pt idx="114">
                    <c:v>LinkedIn</c:v>
                  </c:pt>
                  <c:pt idx="115">
                    <c:v>Facebook</c:v>
                  </c:pt>
                  <c:pt idx="116">
                    <c:v>Instagram</c:v>
                  </c:pt>
                  <c:pt idx="117">
                    <c:v>Instagram</c:v>
                  </c:pt>
                  <c:pt idx="118">
                    <c:v>Twitter</c:v>
                  </c:pt>
                  <c:pt idx="119">
                    <c:v>LinkedIn</c:v>
                  </c:pt>
                </c:lvl>
                <c:lvl>
                  <c:pt idx="0">
                    <c:v>Amit</c:v>
                  </c:pt>
                  <c:pt idx="1">
                    <c:v>Kavya</c:v>
                  </c:pt>
                  <c:pt idx="2">
                    <c:v>Rohan</c:v>
                  </c:pt>
                  <c:pt idx="3">
                    <c:v>Pooja</c:v>
                  </c:pt>
                  <c:pt idx="4">
                    <c:v>Vikas</c:v>
                  </c:pt>
                  <c:pt idx="5">
                    <c:v>Arjun</c:v>
                  </c:pt>
                  <c:pt idx="6">
                    <c:v>Pooja</c:v>
                  </c:pt>
                  <c:pt idx="7">
                    <c:v>Kavya</c:v>
                  </c:pt>
                  <c:pt idx="8">
                    <c:v>Priya</c:v>
                  </c:pt>
                  <c:pt idx="9">
                    <c:v>Rahul</c:v>
                  </c:pt>
                  <c:pt idx="10">
                    <c:v>Kavya</c:v>
                  </c:pt>
                  <c:pt idx="11">
                    <c:v>Vikas</c:v>
                  </c:pt>
                  <c:pt idx="12">
                    <c:v>Amit</c:v>
                  </c:pt>
                  <c:pt idx="13">
                    <c:v>Sneha</c:v>
                  </c:pt>
                  <c:pt idx="14">
                    <c:v>Rahul</c:v>
                  </c:pt>
                  <c:pt idx="15">
                    <c:v>Kavya</c:v>
                  </c:pt>
                  <c:pt idx="16">
                    <c:v>Amit</c:v>
                  </c:pt>
                  <c:pt idx="17">
                    <c:v>Arjun</c:v>
                  </c:pt>
                  <c:pt idx="18">
                    <c:v>Priya</c:v>
                  </c:pt>
                  <c:pt idx="19">
                    <c:v>Pooja</c:v>
                  </c:pt>
                  <c:pt idx="20">
                    <c:v>Rohan</c:v>
                  </c:pt>
                  <c:pt idx="21">
                    <c:v>Rahul</c:v>
                  </c:pt>
                  <c:pt idx="22">
                    <c:v>Pooja</c:v>
                  </c:pt>
                  <c:pt idx="23">
                    <c:v>Sneha</c:v>
                  </c:pt>
                  <c:pt idx="24">
                    <c:v>Rahul</c:v>
                  </c:pt>
                  <c:pt idx="25">
                    <c:v>Sneha</c:v>
                  </c:pt>
                  <c:pt idx="26">
                    <c:v>Pooja</c:v>
                  </c:pt>
                  <c:pt idx="27">
                    <c:v>Kavya</c:v>
                  </c:pt>
                  <c:pt idx="28">
                    <c:v>Sneha</c:v>
                  </c:pt>
                  <c:pt idx="29">
                    <c:v>Vikas</c:v>
                  </c:pt>
                  <c:pt idx="30">
                    <c:v>Sneha</c:v>
                  </c:pt>
                  <c:pt idx="31">
                    <c:v>Neha</c:v>
                  </c:pt>
                  <c:pt idx="32">
                    <c:v>Amit</c:v>
                  </c:pt>
                  <c:pt idx="33">
                    <c:v>Rohan</c:v>
                  </c:pt>
                  <c:pt idx="34">
                    <c:v>Priya</c:v>
                  </c:pt>
                  <c:pt idx="35">
                    <c:v>Priya</c:v>
                  </c:pt>
                  <c:pt idx="36">
                    <c:v>Amit</c:v>
                  </c:pt>
                  <c:pt idx="37">
                    <c:v>Arjun</c:v>
                  </c:pt>
                  <c:pt idx="38">
                    <c:v>Neha</c:v>
                  </c:pt>
                  <c:pt idx="39">
                    <c:v>Amit</c:v>
                  </c:pt>
                  <c:pt idx="40">
                    <c:v>Arjun</c:v>
                  </c:pt>
                  <c:pt idx="41">
                    <c:v>Arjun</c:v>
                  </c:pt>
                  <c:pt idx="42">
                    <c:v>Vikas</c:v>
                  </c:pt>
                  <c:pt idx="43">
                    <c:v>Priya</c:v>
                  </c:pt>
                  <c:pt idx="44">
                    <c:v>Rohan</c:v>
                  </c:pt>
                  <c:pt idx="45">
                    <c:v>Vikas</c:v>
                  </c:pt>
                  <c:pt idx="46">
                    <c:v>Rohan</c:v>
                  </c:pt>
                  <c:pt idx="47">
                    <c:v>Rohan</c:v>
                  </c:pt>
                  <c:pt idx="48">
                    <c:v>Sneha</c:v>
                  </c:pt>
                  <c:pt idx="49">
                    <c:v>Vikas</c:v>
                  </c:pt>
                  <c:pt idx="50">
                    <c:v>Rahul</c:v>
                  </c:pt>
                  <c:pt idx="51">
                    <c:v>Priya</c:v>
                  </c:pt>
                  <c:pt idx="52">
                    <c:v>Arjun</c:v>
                  </c:pt>
                  <c:pt idx="53">
                    <c:v>Sneha</c:v>
                  </c:pt>
                  <c:pt idx="54">
                    <c:v>Sneha</c:v>
                  </c:pt>
                  <c:pt idx="55">
                    <c:v>Arjun</c:v>
                  </c:pt>
                  <c:pt idx="56">
                    <c:v>Pooja</c:v>
                  </c:pt>
                  <c:pt idx="57">
                    <c:v>Sneha</c:v>
                  </c:pt>
                  <c:pt idx="58">
                    <c:v>Vikas</c:v>
                  </c:pt>
                  <c:pt idx="59">
                    <c:v>Amit</c:v>
                  </c:pt>
                  <c:pt idx="60">
                    <c:v>Kavya</c:v>
                  </c:pt>
                  <c:pt idx="61">
                    <c:v>Arjun</c:v>
                  </c:pt>
                  <c:pt idx="62">
                    <c:v>Neha</c:v>
                  </c:pt>
                  <c:pt idx="63">
                    <c:v>Priya</c:v>
                  </c:pt>
                  <c:pt idx="64">
                    <c:v>Vikas</c:v>
                  </c:pt>
                  <c:pt idx="65">
                    <c:v>Kavya</c:v>
                  </c:pt>
                  <c:pt idx="66">
                    <c:v>Arjun</c:v>
                  </c:pt>
                  <c:pt idx="67">
                    <c:v>Rahul</c:v>
                  </c:pt>
                  <c:pt idx="68">
                    <c:v>Priya</c:v>
                  </c:pt>
                  <c:pt idx="69">
                    <c:v>Amit</c:v>
                  </c:pt>
                  <c:pt idx="70">
                    <c:v>Kavya</c:v>
                  </c:pt>
                  <c:pt idx="71">
                    <c:v>Rahul</c:v>
                  </c:pt>
                  <c:pt idx="72">
                    <c:v>Amit</c:v>
                  </c:pt>
                  <c:pt idx="73">
                    <c:v>Pooja</c:v>
                  </c:pt>
                  <c:pt idx="74">
                    <c:v>Vikas</c:v>
                  </c:pt>
                  <c:pt idx="75">
                    <c:v>Sneha</c:v>
                  </c:pt>
                  <c:pt idx="76">
                    <c:v>Neha</c:v>
                  </c:pt>
                  <c:pt idx="77">
                    <c:v>Rahul</c:v>
                  </c:pt>
                  <c:pt idx="78">
                    <c:v>Arjun</c:v>
                  </c:pt>
                  <c:pt idx="79">
                    <c:v>Kavya</c:v>
                  </c:pt>
                  <c:pt idx="80">
                    <c:v>Rohan</c:v>
                  </c:pt>
                  <c:pt idx="81">
                    <c:v>Arjun</c:v>
                  </c:pt>
                  <c:pt idx="82">
                    <c:v>Rahul</c:v>
                  </c:pt>
                  <c:pt idx="83">
                    <c:v>Arjun</c:v>
                  </c:pt>
                  <c:pt idx="84">
                    <c:v>Sneha</c:v>
                  </c:pt>
                  <c:pt idx="85">
                    <c:v>Vikas</c:v>
                  </c:pt>
                  <c:pt idx="86">
                    <c:v>Sneha</c:v>
                  </c:pt>
                  <c:pt idx="87">
                    <c:v>Amit</c:v>
                  </c:pt>
                  <c:pt idx="88">
                    <c:v>Pooja</c:v>
                  </c:pt>
                  <c:pt idx="89">
                    <c:v>Rahul</c:v>
                  </c:pt>
                  <c:pt idx="90">
                    <c:v>Arjun</c:v>
                  </c:pt>
                  <c:pt idx="91">
                    <c:v>Vikas</c:v>
                  </c:pt>
                  <c:pt idx="92">
                    <c:v>Neha</c:v>
                  </c:pt>
                  <c:pt idx="93">
                    <c:v>Priya</c:v>
                  </c:pt>
                  <c:pt idx="94">
                    <c:v>Rahul</c:v>
                  </c:pt>
                  <c:pt idx="95">
                    <c:v>Arjun</c:v>
                  </c:pt>
                  <c:pt idx="96">
                    <c:v>Sneha</c:v>
                  </c:pt>
                  <c:pt idx="97">
                    <c:v>Pooja</c:v>
                  </c:pt>
                  <c:pt idx="98">
                    <c:v>Vikas</c:v>
                  </c:pt>
                  <c:pt idx="99">
                    <c:v>Arjun</c:v>
                  </c:pt>
                  <c:pt idx="100">
                    <c:v>Pooja</c:v>
                  </c:pt>
                  <c:pt idx="101">
                    <c:v>Vikas</c:v>
                  </c:pt>
                  <c:pt idx="102">
                    <c:v>Neha</c:v>
                  </c:pt>
                  <c:pt idx="103">
                    <c:v>Neha</c:v>
                  </c:pt>
                  <c:pt idx="104">
                    <c:v>Sneha</c:v>
                  </c:pt>
                  <c:pt idx="105">
                    <c:v>Priya</c:v>
                  </c:pt>
                  <c:pt idx="106">
                    <c:v>Rohan</c:v>
                  </c:pt>
                  <c:pt idx="107">
                    <c:v>Pooja</c:v>
                  </c:pt>
                  <c:pt idx="108">
                    <c:v>Neha</c:v>
                  </c:pt>
                  <c:pt idx="109">
                    <c:v>Pooja</c:v>
                  </c:pt>
                  <c:pt idx="110">
                    <c:v>Kavya</c:v>
                  </c:pt>
                  <c:pt idx="111">
                    <c:v>Rohan</c:v>
                  </c:pt>
                  <c:pt idx="112">
                    <c:v>Vikas</c:v>
                  </c:pt>
                  <c:pt idx="113">
                    <c:v>Vikas</c:v>
                  </c:pt>
                  <c:pt idx="114">
                    <c:v>Amit</c:v>
                  </c:pt>
                  <c:pt idx="115">
                    <c:v>Sneha</c:v>
                  </c:pt>
                  <c:pt idx="116">
                    <c:v>Vikas</c:v>
                  </c:pt>
                  <c:pt idx="117">
                    <c:v>Vikas</c:v>
                  </c:pt>
                  <c:pt idx="118">
                    <c:v>Pooja</c:v>
                  </c:pt>
                  <c:pt idx="119">
                    <c:v>Rohan</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lvl>
              </c:multiLvlStrCache>
            </c:multiLvlStrRef>
          </c:cat>
          <c:val>
            <c:numRef>
              <c:f>'social media sentiment Project'!$L$6:$L$125</c:f>
              <c:numCache>
                <c:formatCode>General</c:formatCode>
                <c:ptCount val="120"/>
                <c:pt idx="0">
                  <c:v>94</c:v>
                </c:pt>
                <c:pt idx="1">
                  <c:v>27</c:v>
                </c:pt>
                <c:pt idx="2">
                  <c:v>69</c:v>
                </c:pt>
                <c:pt idx="3">
                  <c:v>89</c:v>
                </c:pt>
                <c:pt idx="4">
                  <c:v>43</c:v>
                </c:pt>
                <c:pt idx="5">
                  <c:v>77</c:v>
                </c:pt>
                <c:pt idx="6">
                  <c:v>37</c:v>
                </c:pt>
                <c:pt idx="7">
                  <c:v>84</c:v>
                </c:pt>
                <c:pt idx="8">
                  <c:v>58</c:v>
                </c:pt>
                <c:pt idx="9">
                  <c:v>34</c:v>
                </c:pt>
                <c:pt idx="10">
                  <c:v>20</c:v>
                </c:pt>
                <c:pt idx="11">
                  <c:v>99</c:v>
                </c:pt>
                <c:pt idx="12">
                  <c:v>27</c:v>
                </c:pt>
                <c:pt idx="13">
                  <c:v>58</c:v>
                </c:pt>
                <c:pt idx="14">
                  <c:v>33</c:v>
                </c:pt>
                <c:pt idx="15">
                  <c:v>65</c:v>
                </c:pt>
                <c:pt idx="16">
                  <c:v>87</c:v>
                </c:pt>
                <c:pt idx="17">
                  <c:v>32</c:v>
                </c:pt>
                <c:pt idx="18">
                  <c:v>37</c:v>
                </c:pt>
                <c:pt idx="19">
                  <c:v>33</c:v>
                </c:pt>
                <c:pt idx="20">
                  <c:v>64</c:v>
                </c:pt>
                <c:pt idx="21">
                  <c:v>67</c:v>
                </c:pt>
                <c:pt idx="22">
                  <c:v>39</c:v>
                </c:pt>
                <c:pt idx="23">
                  <c:v>8</c:v>
                </c:pt>
                <c:pt idx="24">
                  <c:v>67</c:v>
                </c:pt>
                <c:pt idx="25">
                  <c:v>85</c:v>
                </c:pt>
                <c:pt idx="26">
                  <c:v>8</c:v>
                </c:pt>
                <c:pt idx="27">
                  <c:v>9</c:v>
                </c:pt>
                <c:pt idx="28">
                  <c:v>9</c:v>
                </c:pt>
                <c:pt idx="29">
                  <c:v>92</c:v>
                </c:pt>
                <c:pt idx="30">
                  <c:v>12</c:v>
                </c:pt>
                <c:pt idx="31">
                  <c:v>6</c:v>
                </c:pt>
                <c:pt idx="32">
                  <c:v>31</c:v>
                </c:pt>
                <c:pt idx="33">
                  <c:v>35</c:v>
                </c:pt>
                <c:pt idx="34">
                  <c:v>83</c:v>
                </c:pt>
                <c:pt idx="35">
                  <c:v>61</c:v>
                </c:pt>
                <c:pt idx="36">
                  <c:v>33</c:v>
                </c:pt>
                <c:pt idx="37">
                  <c:v>27</c:v>
                </c:pt>
                <c:pt idx="38">
                  <c:v>64</c:v>
                </c:pt>
                <c:pt idx="39">
                  <c:v>8</c:v>
                </c:pt>
                <c:pt idx="40">
                  <c:v>76</c:v>
                </c:pt>
                <c:pt idx="41">
                  <c:v>91</c:v>
                </c:pt>
                <c:pt idx="42">
                  <c:v>38</c:v>
                </c:pt>
                <c:pt idx="43">
                  <c:v>12</c:v>
                </c:pt>
                <c:pt idx="44">
                  <c:v>8</c:v>
                </c:pt>
                <c:pt idx="45">
                  <c:v>90</c:v>
                </c:pt>
                <c:pt idx="46">
                  <c:v>33</c:v>
                </c:pt>
                <c:pt idx="47">
                  <c:v>26</c:v>
                </c:pt>
                <c:pt idx="48">
                  <c:v>6</c:v>
                </c:pt>
                <c:pt idx="49">
                  <c:v>16</c:v>
                </c:pt>
                <c:pt idx="50">
                  <c:v>71</c:v>
                </c:pt>
                <c:pt idx="51">
                  <c:v>74</c:v>
                </c:pt>
                <c:pt idx="52">
                  <c:v>5</c:v>
                </c:pt>
                <c:pt idx="53">
                  <c:v>52</c:v>
                </c:pt>
                <c:pt idx="54">
                  <c:v>3</c:v>
                </c:pt>
                <c:pt idx="55">
                  <c:v>13</c:v>
                </c:pt>
                <c:pt idx="56">
                  <c:v>44</c:v>
                </c:pt>
                <c:pt idx="57">
                  <c:v>42</c:v>
                </c:pt>
                <c:pt idx="58">
                  <c:v>86</c:v>
                </c:pt>
                <c:pt idx="59">
                  <c:v>33</c:v>
                </c:pt>
                <c:pt idx="60">
                  <c:v>55</c:v>
                </c:pt>
                <c:pt idx="61">
                  <c:v>55</c:v>
                </c:pt>
                <c:pt idx="62">
                  <c:v>42</c:v>
                </c:pt>
                <c:pt idx="63">
                  <c:v>52</c:v>
                </c:pt>
                <c:pt idx="64">
                  <c:v>48</c:v>
                </c:pt>
                <c:pt idx="65">
                  <c:v>38</c:v>
                </c:pt>
                <c:pt idx="66">
                  <c:v>86</c:v>
                </c:pt>
                <c:pt idx="67">
                  <c:v>81</c:v>
                </c:pt>
                <c:pt idx="68">
                  <c:v>25</c:v>
                </c:pt>
                <c:pt idx="69">
                  <c:v>9</c:v>
                </c:pt>
                <c:pt idx="70">
                  <c:v>63</c:v>
                </c:pt>
                <c:pt idx="71">
                  <c:v>28</c:v>
                </c:pt>
                <c:pt idx="72">
                  <c:v>59</c:v>
                </c:pt>
                <c:pt idx="73">
                  <c:v>95</c:v>
                </c:pt>
                <c:pt idx="74">
                  <c:v>99</c:v>
                </c:pt>
                <c:pt idx="75">
                  <c:v>36</c:v>
                </c:pt>
                <c:pt idx="76">
                  <c:v>19</c:v>
                </c:pt>
                <c:pt idx="77">
                  <c:v>42</c:v>
                </c:pt>
                <c:pt idx="78">
                  <c:v>49</c:v>
                </c:pt>
                <c:pt idx="79">
                  <c:v>38</c:v>
                </c:pt>
                <c:pt idx="80">
                  <c:v>55</c:v>
                </c:pt>
                <c:pt idx="81">
                  <c:v>92</c:v>
                </c:pt>
                <c:pt idx="82">
                  <c:v>84</c:v>
                </c:pt>
                <c:pt idx="83">
                  <c:v>33</c:v>
                </c:pt>
                <c:pt idx="84">
                  <c:v>48</c:v>
                </c:pt>
                <c:pt idx="85">
                  <c:v>69</c:v>
                </c:pt>
                <c:pt idx="86">
                  <c:v>3</c:v>
                </c:pt>
                <c:pt idx="87">
                  <c:v>85</c:v>
                </c:pt>
                <c:pt idx="88">
                  <c:v>77</c:v>
                </c:pt>
                <c:pt idx="89">
                  <c:v>39</c:v>
                </c:pt>
                <c:pt idx="90">
                  <c:v>80</c:v>
                </c:pt>
                <c:pt idx="91">
                  <c:v>44</c:v>
                </c:pt>
                <c:pt idx="92">
                  <c:v>1</c:v>
                </c:pt>
                <c:pt idx="93">
                  <c:v>90</c:v>
                </c:pt>
                <c:pt idx="94">
                  <c:v>99</c:v>
                </c:pt>
                <c:pt idx="95">
                  <c:v>11</c:v>
                </c:pt>
                <c:pt idx="96">
                  <c:v>48</c:v>
                </c:pt>
                <c:pt idx="97">
                  <c:v>45</c:v>
                </c:pt>
                <c:pt idx="98">
                  <c:v>24</c:v>
                </c:pt>
                <c:pt idx="99">
                  <c:v>88</c:v>
                </c:pt>
                <c:pt idx="100">
                  <c:v>51</c:v>
                </c:pt>
                <c:pt idx="101">
                  <c:v>44</c:v>
                </c:pt>
                <c:pt idx="102">
                  <c:v>29</c:v>
                </c:pt>
                <c:pt idx="103">
                  <c:v>88</c:v>
                </c:pt>
                <c:pt idx="104">
                  <c:v>97</c:v>
                </c:pt>
                <c:pt idx="105">
                  <c:v>22</c:v>
                </c:pt>
                <c:pt idx="106">
                  <c:v>70</c:v>
                </c:pt>
                <c:pt idx="107">
                  <c:v>60</c:v>
                </c:pt>
                <c:pt idx="108">
                  <c:v>14</c:v>
                </c:pt>
                <c:pt idx="109">
                  <c:v>6</c:v>
                </c:pt>
                <c:pt idx="110">
                  <c:v>71</c:v>
                </c:pt>
                <c:pt idx="111">
                  <c:v>38</c:v>
                </c:pt>
                <c:pt idx="112">
                  <c:v>12</c:v>
                </c:pt>
                <c:pt idx="113">
                  <c:v>70</c:v>
                </c:pt>
                <c:pt idx="114">
                  <c:v>60</c:v>
                </c:pt>
                <c:pt idx="115">
                  <c:v>58</c:v>
                </c:pt>
                <c:pt idx="116">
                  <c:v>28</c:v>
                </c:pt>
                <c:pt idx="117">
                  <c:v>39</c:v>
                </c:pt>
                <c:pt idx="118">
                  <c:v>89</c:v>
                </c:pt>
                <c:pt idx="119">
                  <c:v>5</c:v>
                </c:pt>
              </c:numCache>
            </c:numRef>
          </c:val>
          <c:extLst>
            <c:ext xmlns:c16="http://schemas.microsoft.com/office/drawing/2014/chart" uri="{C3380CC4-5D6E-409C-BE32-E72D297353CC}">
              <c16:uniqueId val="{00000002-4D29-4B5A-8EC6-F7CD02595E02}"/>
            </c:ext>
          </c:extLst>
        </c:ser>
        <c:dLbls>
          <c:showLegendKey val="0"/>
          <c:showVal val="0"/>
          <c:showCatName val="0"/>
          <c:showSerName val="0"/>
          <c:showPercent val="0"/>
          <c:showBubbleSize val="0"/>
        </c:dLbls>
        <c:gapWidth val="219"/>
        <c:overlap val="-27"/>
        <c:axId val="318024168"/>
        <c:axId val="318026792"/>
      </c:barChart>
      <c:catAx>
        <c:axId val="318024168"/>
        <c:scaling>
          <c:orientation val="minMax"/>
        </c:scaling>
        <c:delete val="1"/>
        <c:axPos val="b"/>
        <c:numFmt formatCode="General" sourceLinked="1"/>
        <c:majorTickMark val="none"/>
        <c:minorTickMark val="none"/>
        <c:tickLblPos val="nextTo"/>
        <c:crossAx val="318026792"/>
        <c:crosses val="autoZero"/>
        <c:auto val="1"/>
        <c:lblAlgn val="ctr"/>
        <c:lblOffset val="100"/>
        <c:noMultiLvlLbl val="0"/>
      </c:catAx>
      <c:valAx>
        <c:axId val="318026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24168"/>
        <c:crosses val="autoZero"/>
        <c:crossBetween val="between"/>
      </c:valAx>
      <c:spPr>
        <a:noFill/>
        <a:ln>
          <a:solidFill>
            <a:sysClr val="windowText" lastClr="000000"/>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204787</xdr:colOff>
      <xdr:row>4</xdr:row>
      <xdr:rowOff>33337</xdr:rowOff>
    </xdr:from>
    <xdr:to>
      <xdr:col>10</xdr:col>
      <xdr:colOff>180975</xdr:colOff>
      <xdr:row>18</xdr:row>
      <xdr:rowOff>109537</xdr:rowOff>
    </xdr:to>
    <xdr:graphicFrame macro="">
      <xdr:nvGraphicFramePr>
        <xdr:cNvPr id="2" name="Chart 1">
          <a:extLst>
            <a:ext uri="{FF2B5EF4-FFF2-40B4-BE49-F238E27FC236}">
              <a16:creationId xmlns:a16="http://schemas.microsoft.com/office/drawing/2014/main" id="{8C37BA8D-D176-4C40-A51A-A25FD5381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300037</xdr:colOff>
      <xdr:row>4</xdr:row>
      <xdr:rowOff>33337</xdr:rowOff>
    </xdr:from>
    <xdr:to>
      <xdr:col>10</xdr:col>
      <xdr:colOff>314325</xdr:colOff>
      <xdr:row>17</xdr:row>
      <xdr:rowOff>9525</xdr:rowOff>
    </xdr:to>
    <xdr:graphicFrame macro="">
      <xdr:nvGraphicFramePr>
        <xdr:cNvPr id="2" name="Chart 1">
          <a:extLst>
            <a:ext uri="{FF2B5EF4-FFF2-40B4-BE49-F238E27FC236}">
              <a16:creationId xmlns:a16="http://schemas.microsoft.com/office/drawing/2014/main" id="{0B322A0B-83E3-4992-B5A5-79D904F2D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204787</xdr:colOff>
      <xdr:row>4</xdr:row>
      <xdr:rowOff>33337</xdr:rowOff>
    </xdr:from>
    <xdr:to>
      <xdr:col>10</xdr:col>
      <xdr:colOff>509587</xdr:colOff>
      <xdr:row>18</xdr:row>
      <xdr:rowOff>109537</xdr:rowOff>
    </xdr:to>
    <xdr:graphicFrame macro="">
      <xdr:nvGraphicFramePr>
        <xdr:cNvPr id="2" name="Chart 1">
          <a:extLst>
            <a:ext uri="{FF2B5EF4-FFF2-40B4-BE49-F238E27FC236}">
              <a16:creationId xmlns:a16="http://schemas.microsoft.com/office/drawing/2014/main" id="{6C9ED63F-C370-4560-A5A9-7D928DA8E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204787</xdr:colOff>
      <xdr:row>4</xdr:row>
      <xdr:rowOff>33337</xdr:rowOff>
    </xdr:from>
    <xdr:to>
      <xdr:col>10</xdr:col>
      <xdr:colOff>304800</xdr:colOff>
      <xdr:row>17</xdr:row>
      <xdr:rowOff>19050</xdr:rowOff>
    </xdr:to>
    <xdr:graphicFrame macro="">
      <xdr:nvGraphicFramePr>
        <xdr:cNvPr id="2" name="Chart 1">
          <a:extLst>
            <a:ext uri="{FF2B5EF4-FFF2-40B4-BE49-F238E27FC236}">
              <a16:creationId xmlns:a16="http://schemas.microsoft.com/office/drawing/2014/main" id="{F0064C0B-8AAF-49F8-A398-4D0AEAC13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204787</xdr:colOff>
      <xdr:row>4</xdr:row>
      <xdr:rowOff>33336</xdr:rowOff>
    </xdr:from>
    <xdr:to>
      <xdr:col>10</xdr:col>
      <xdr:colOff>9525</xdr:colOff>
      <xdr:row>15</xdr:row>
      <xdr:rowOff>95249</xdr:rowOff>
    </xdr:to>
    <xdr:graphicFrame macro="">
      <xdr:nvGraphicFramePr>
        <xdr:cNvPr id="2" name="Chart 1">
          <a:extLst>
            <a:ext uri="{FF2B5EF4-FFF2-40B4-BE49-F238E27FC236}">
              <a16:creationId xmlns:a16="http://schemas.microsoft.com/office/drawing/2014/main" id="{6E30EB7C-0C5D-498C-BFD2-19FAA0892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581024</xdr:colOff>
      <xdr:row>152</xdr:row>
      <xdr:rowOff>166687</xdr:rowOff>
    </xdr:from>
    <xdr:to>
      <xdr:col>7</xdr:col>
      <xdr:colOff>523875</xdr:colOff>
      <xdr:row>165</xdr:row>
      <xdr:rowOff>114300</xdr:rowOff>
    </xdr:to>
    <xdr:graphicFrame macro="">
      <xdr:nvGraphicFramePr>
        <xdr:cNvPr id="2" name="Chart 1">
          <a:extLst>
            <a:ext uri="{FF2B5EF4-FFF2-40B4-BE49-F238E27FC236}">
              <a16:creationId xmlns:a16="http://schemas.microsoft.com/office/drawing/2014/main" id="{3AE2A857-C0FF-4CB1-AE51-DB2A61F49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514350</xdr:colOff>
      <xdr:row>43</xdr:row>
      <xdr:rowOff>38100</xdr:rowOff>
    </xdr:to>
    <xdr:sp macro="" textlink="">
      <xdr:nvSpPr>
        <xdr:cNvPr id="2" name="Rectangle: Rounded Corners 1">
          <a:extLst>
            <a:ext uri="{FF2B5EF4-FFF2-40B4-BE49-F238E27FC236}">
              <a16:creationId xmlns:a16="http://schemas.microsoft.com/office/drawing/2014/main" id="{BB0246A7-8C57-4B8D-8D3A-96F46684E426}"/>
            </a:ext>
          </a:extLst>
        </xdr:cNvPr>
        <xdr:cNvSpPr/>
      </xdr:nvSpPr>
      <xdr:spPr>
        <a:xfrm>
          <a:off x="0" y="0"/>
          <a:ext cx="15754350" cy="8229600"/>
        </a:xfrm>
        <a:prstGeom prst="roundRect">
          <a:avLst>
            <a:gd name="adj" fmla="val 463"/>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47625</xdr:rowOff>
    </xdr:from>
    <xdr:to>
      <xdr:col>25</xdr:col>
      <xdr:colOff>476250</xdr:colOff>
      <xdr:row>2</xdr:row>
      <xdr:rowOff>152400</xdr:rowOff>
    </xdr:to>
    <xdr:sp macro="" textlink="">
      <xdr:nvSpPr>
        <xdr:cNvPr id="3" name="TextBox 2">
          <a:extLst>
            <a:ext uri="{FF2B5EF4-FFF2-40B4-BE49-F238E27FC236}">
              <a16:creationId xmlns:a16="http://schemas.microsoft.com/office/drawing/2014/main" id="{3F43AB8D-2AE4-4D5F-88FC-0851D7AD99EB}"/>
            </a:ext>
          </a:extLst>
        </xdr:cNvPr>
        <xdr:cNvSpPr txBox="1"/>
      </xdr:nvSpPr>
      <xdr:spPr>
        <a:xfrm>
          <a:off x="0" y="47625"/>
          <a:ext cx="15740673" cy="49554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solidFill>
            </a:rPr>
            <a:t>SOCIAL MEDIA SENTIMENT</a:t>
          </a:r>
          <a:r>
            <a:rPr lang="en-US" sz="2000" b="1" baseline="0">
              <a:solidFill>
                <a:schemeClr val="accent2"/>
              </a:solidFill>
            </a:rPr>
            <a:t> ANALYSIS DASHBOARD</a:t>
          </a:r>
          <a:endParaRPr lang="en-US" sz="2000" b="1">
            <a:solidFill>
              <a:schemeClr val="accent2"/>
            </a:solidFill>
          </a:endParaRPr>
        </a:p>
      </xdr:txBody>
    </xdr:sp>
    <xdr:clientData/>
  </xdr:twoCellAnchor>
  <xdr:twoCellAnchor>
    <xdr:from>
      <xdr:col>0</xdr:col>
      <xdr:colOff>95248</xdr:colOff>
      <xdr:row>3</xdr:row>
      <xdr:rowOff>85725</xdr:rowOff>
    </xdr:from>
    <xdr:to>
      <xdr:col>4</xdr:col>
      <xdr:colOff>268653</xdr:colOff>
      <xdr:row>10</xdr:row>
      <xdr:rowOff>114300</xdr:rowOff>
    </xdr:to>
    <xdr:sp macro="" textlink="">
      <xdr:nvSpPr>
        <xdr:cNvPr id="4" name="Rectangle: Rounded Corners 3">
          <a:extLst>
            <a:ext uri="{FF2B5EF4-FFF2-40B4-BE49-F238E27FC236}">
              <a16:creationId xmlns:a16="http://schemas.microsoft.com/office/drawing/2014/main" id="{5BB31083-4E81-42E5-8641-1759BA4E1CE1}"/>
            </a:ext>
          </a:extLst>
        </xdr:cNvPr>
        <xdr:cNvSpPr/>
      </xdr:nvSpPr>
      <xdr:spPr>
        <a:xfrm>
          <a:off x="95248" y="671879"/>
          <a:ext cx="2615713" cy="1396267"/>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302600</xdr:colOff>
      <xdr:row>3</xdr:row>
      <xdr:rowOff>110147</xdr:rowOff>
    </xdr:from>
    <xdr:to>
      <xdr:col>8</xdr:col>
      <xdr:colOff>464038</xdr:colOff>
      <xdr:row>10</xdr:row>
      <xdr:rowOff>138722</xdr:rowOff>
    </xdr:to>
    <xdr:sp macro="" textlink="">
      <xdr:nvSpPr>
        <xdr:cNvPr id="5" name="Rectangle: Rounded Corners 4">
          <a:extLst>
            <a:ext uri="{FF2B5EF4-FFF2-40B4-BE49-F238E27FC236}">
              <a16:creationId xmlns:a16="http://schemas.microsoft.com/office/drawing/2014/main" id="{6D82C2DB-05EE-4FAA-A8F6-531E93CD2E08}"/>
            </a:ext>
          </a:extLst>
        </xdr:cNvPr>
        <xdr:cNvSpPr/>
      </xdr:nvSpPr>
      <xdr:spPr>
        <a:xfrm>
          <a:off x="2744908" y="696301"/>
          <a:ext cx="2603745" cy="1396267"/>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512885</xdr:colOff>
      <xdr:row>3</xdr:row>
      <xdr:rowOff>111614</xdr:rowOff>
    </xdr:from>
    <xdr:to>
      <xdr:col>12</xdr:col>
      <xdr:colOff>573942</xdr:colOff>
      <xdr:row>10</xdr:row>
      <xdr:rowOff>111614</xdr:rowOff>
    </xdr:to>
    <xdr:sp macro="" textlink="">
      <xdr:nvSpPr>
        <xdr:cNvPr id="6" name="Rectangle: Rounded Corners 5">
          <a:extLst>
            <a:ext uri="{FF2B5EF4-FFF2-40B4-BE49-F238E27FC236}">
              <a16:creationId xmlns:a16="http://schemas.microsoft.com/office/drawing/2014/main" id="{4614B92A-679B-4422-B507-25923F97B197}"/>
            </a:ext>
          </a:extLst>
        </xdr:cNvPr>
        <xdr:cNvSpPr/>
      </xdr:nvSpPr>
      <xdr:spPr>
        <a:xfrm>
          <a:off x="5397500" y="697768"/>
          <a:ext cx="2503365" cy="1367692"/>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24424</xdr:colOff>
      <xdr:row>3</xdr:row>
      <xdr:rowOff>69606</xdr:rowOff>
    </xdr:from>
    <xdr:to>
      <xdr:col>16</xdr:col>
      <xdr:colOff>427405</xdr:colOff>
      <xdr:row>10</xdr:row>
      <xdr:rowOff>107706</xdr:rowOff>
    </xdr:to>
    <xdr:sp macro="" textlink="">
      <xdr:nvSpPr>
        <xdr:cNvPr id="7" name="Rectangle: Rounded Corners 6">
          <a:extLst>
            <a:ext uri="{FF2B5EF4-FFF2-40B4-BE49-F238E27FC236}">
              <a16:creationId xmlns:a16="http://schemas.microsoft.com/office/drawing/2014/main" id="{5BA7CD4D-4A1B-4ABB-826C-7E880FA1105D}"/>
            </a:ext>
          </a:extLst>
        </xdr:cNvPr>
        <xdr:cNvSpPr/>
      </xdr:nvSpPr>
      <xdr:spPr>
        <a:xfrm>
          <a:off x="7961924" y="655760"/>
          <a:ext cx="2234712" cy="1405792"/>
        </a:xfrm>
        <a:prstGeom prst="roundRect">
          <a:avLst>
            <a:gd name="adj" fmla="val 0"/>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197827</xdr:colOff>
      <xdr:row>4</xdr:row>
      <xdr:rowOff>118452</xdr:rowOff>
    </xdr:from>
    <xdr:to>
      <xdr:col>3</xdr:col>
      <xdr:colOff>312127</xdr:colOff>
      <xdr:row>5</xdr:row>
      <xdr:rowOff>190012</xdr:rowOff>
    </xdr:to>
    <xdr:sp macro="" textlink="">
      <xdr:nvSpPr>
        <xdr:cNvPr id="8" name="TextBox 7">
          <a:extLst>
            <a:ext uri="{FF2B5EF4-FFF2-40B4-BE49-F238E27FC236}">
              <a16:creationId xmlns:a16="http://schemas.microsoft.com/office/drawing/2014/main" id="{835F9697-A656-43FF-909A-471475FC4252}"/>
            </a:ext>
          </a:extLst>
        </xdr:cNvPr>
        <xdr:cNvSpPr txBox="1"/>
      </xdr:nvSpPr>
      <xdr:spPr>
        <a:xfrm>
          <a:off x="808404" y="899990"/>
          <a:ext cx="1335454" cy="266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Posts</a:t>
          </a:r>
        </a:p>
      </xdr:txBody>
    </xdr:sp>
    <xdr:clientData/>
  </xdr:twoCellAnchor>
  <xdr:twoCellAnchor>
    <xdr:from>
      <xdr:col>5</xdr:col>
      <xdr:colOff>538285</xdr:colOff>
      <xdr:row>4</xdr:row>
      <xdr:rowOff>78885</xdr:rowOff>
    </xdr:from>
    <xdr:to>
      <xdr:col>8</xdr:col>
      <xdr:colOff>70584</xdr:colOff>
      <xdr:row>5</xdr:row>
      <xdr:rowOff>164610</xdr:rowOff>
    </xdr:to>
    <xdr:sp macro="" textlink="">
      <xdr:nvSpPr>
        <xdr:cNvPr id="9" name="TextBox 8">
          <a:extLst>
            <a:ext uri="{FF2B5EF4-FFF2-40B4-BE49-F238E27FC236}">
              <a16:creationId xmlns:a16="http://schemas.microsoft.com/office/drawing/2014/main" id="{EDA8CEA2-AFC6-4068-B747-8C6757F3A2D9}"/>
            </a:ext>
          </a:extLst>
        </xdr:cNvPr>
        <xdr:cNvSpPr txBox="1"/>
      </xdr:nvSpPr>
      <xdr:spPr>
        <a:xfrm>
          <a:off x="3591170" y="860423"/>
          <a:ext cx="1364029" cy="281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Likes</a:t>
          </a:r>
        </a:p>
      </xdr:txBody>
    </xdr:sp>
    <xdr:clientData/>
  </xdr:twoCellAnchor>
  <xdr:twoCellAnchor>
    <xdr:from>
      <xdr:col>10</xdr:col>
      <xdr:colOff>28087</xdr:colOff>
      <xdr:row>4</xdr:row>
      <xdr:rowOff>92562</xdr:rowOff>
    </xdr:from>
    <xdr:to>
      <xdr:col>12</xdr:col>
      <xdr:colOff>104287</xdr:colOff>
      <xdr:row>5</xdr:row>
      <xdr:rowOff>140187</xdr:rowOff>
    </xdr:to>
    <xdr:sp macro="" textlink="">
      <xdr:nvSpPr>
        <xdr:cNvPr id="10" name="TextBox 9">
          <a:extLst>
            <a:ext uri="{FF2B5EF4-FFF2-40B4-BE49-F238E27FC236}">
              <a16:creationId xmlns:a16="http://schemas.microsoft.com/office/drawing/2014/main" id="{75B086DA-2686-4752-9EFF-D60EA642D059}"/>
            </a:ext>
          </a:extLst>
        </xdr:cNvPr>
        <xdr:cNvSpPr txBox="1"/>
      </xdr:nvSpPr>
      <xdr:spPr>
        <a:xfrm>
          <a:off x="6133856" y="874100"/>
          <a:ext cx="1297354" cy="243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Shares</a:t>
          </a:r>
        </a:p>
        <a:p>
          <a:endParaRPr lang="en-US" sz="1100"/>
        </a:p>
      </xdr:txBody>
    </xdr:sp>
    <xdr:clientData/>
  </xdr:twoCellAnchor>
  <xdr:twoCellAnchor>
    <xdr:from>
      <xdr:col>13</xdr:col>
      <xdr:colOff>578094</xdr:colOff>
      <xdr:row>4</xdr:row>
      <xdr:rowOff>76444</xdr:rowOff>
    </xdr:from>
    <xdr:to>
      <xdr:col>16</xdr:col>
      <xdr:colOff>177067</xdr:colOff>
      <xdr:row>5</xdr:row>
      <xdr:rowOff>128954</xdr:rowOff>
    </xdr:to>
    <xdr:sp macro="" textlink="">
      <xdr:nvSpPr>
        <xdr:cNvPr id="11" name="TextBox 10">
          <a:extLst>
            <a:ext uri="{FF2B5EF4-FFF2-40B4-BE49-F238E27FC236}">
              <a16:creationId xmlns:a16="http://schemas.microsoft.com/office/drawing/2014/main" id="{D8DC4803-1E40-4DC7-9B70-B63E640D97F9}"/>
            </a:ext>
          </a:extLst>
        </xdr:cNvPr>
        <xdr:cNvSpPr txBox="1"/>
      </xdr:nvSpPr>
      <xdr:spPr>
        <a:xfrm>
          <a:off x="8515594" y="857982"/>
          <a:ext cx="1430704" cy="247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 Engagement</a:t>
          </a:r>
        </a:p>
      </xdr:txBody>
    </xdr:sp>
    <xdr:clientData/>
  </xdr:twoCellAnchor>
  <xdr:twoCellAnchor>
    <xdr:from>
      <xdr:col>1</xdr:col>
      <xdr:colOff>491636</xdr:colOff>
      <xdr:row>8</xdr:row>
      <xdr:rowOff>55684</xdr:rowOff>
    </xdr:from>
    <xdr:to>
      <xdr:col>2</xdr:col>
      <xdr:colOff>586886</xdr:colOff>
      <xdr:row>10</xdr:row>
      <xdr:rowOff>22225</xdr:rowOff>
    </xdr:to>
    <xdr:sp macro="" textlink="">
      <xdr:nvSpPr>
        <xdr:cNvPr id="12" name="TextBox 11">
          <a:extLst>
            <a:ext uri="{FF2B5EF4-FFF2-40B4-BE49-F238E27FC236}">
              <a16:creationId xmlns:a16="http://schemas.microsoft.com/office/drawing/2014/main" id="{D3FF6FBB-018B-426C-97C0-40EFC07D41C3}"/>
            </a:ext>
          </a:extLst>
        </xdr:cNvPr>
        <xdr:cNvSpPr txBox="1"/>
      </xdr:nvSpPr>
      <xdr:spPr>
        <a:xfrm>
          <a:off x="1102213" y="1618761"/>
          <a:ext cx="705827" cy="3573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120</a:t>
          </a:r>
        </a:p>
        <a:p>
          <a:endParaRPr lang="en-US" sz="1100"/>
        </a:p>
      </xdr:txBody>
    </xdr:sp>
    <xdr:clientData/>
  </xdr:twoCellAnchor>
  <xdr:twoCellAnchor>
    <xdr:from>
      <xdr:col>6</xdr:col>
      <xdr:colOff>283796</xdr:colOff>
      <xdr:row>8</xdr:row>
      <xdr:rowOff>101843</xdr:rowOff>
    </xdr:from>
    <xdr:to>
      <xdr:col>7</xdr:col>
      <xdr:colOff>293322</xdr:colOff>
      <xdr:row>10</xdr:row>
      <xdr:rowOff>49334</xdr:rowOff>
    </xdr:to>
    <xdr:sp macro="" textlink="">
      <xdr:nvSpPr>
        <xdr:cNvPr id="13" name="TextBox 12">
          <a:extLst>
            <a:ext uri="{FF2B5EF4-FFF2-40B4-BE49-F238E27FC236}">
              <a16:creationId xmlns:a16="http://schemas.microsoft.com/office/drawing/2014/main" id="{64CDA5BF-A000-4FC4-8F0D-A08AA937A88A}"/>
            </a:ext>
          </a:extLst>
        </xdr:cNvPr>
        <xdr:cNvSpPr txBox="1"/>
      </xdr:nvSpPr>
      <xdr:spPr>
        <a:xfrm>
          <a:off x="3947258" y="1664920"/>
          <a:ext cx="620102" cy="338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27021</a:t>
          </a:r>
        </a:p>
      </xdr:txBody>
    </xdr:sp>
    <xdr:clientData/>
  </xdr:twoCellAnchor>
  <xdr:twoCellAnchor>
    <xdr:from>
      <xdr:col>10</xdr:col>
      <xdr:colOff>392235</xdr:colOff>
      <xdr:row>8</xdr:row>
      <xdr:rowOff>59837</xdr:rowOff>
    </xdr:from>
    <xdr:to>
      <xdr:col>11</xdr:col>
      <xdr:colOff>420810</xdr:colOff>
      <xdr:row>10</xdr:row>
      <xdr:rowOff>31262</xdr:rowOff>
    </xdr:to>
    <xdr:sp macro="" textlink="">
      <xdr:nvSpPr>
        <xdr:cNvPr id="14" name="TextBox 13">
          <a:extLst>
            <a:ext uri="{FF2B5EF4-FFF2-40B4-BE49-F238E27FC236}">
              <a16:creationId xmlns:a16="http://schemas.microsoft.com/office/drawing/2014/main" id="{20EBF9D6-4069-4BFB-9AC9-7658190EBD14}"/>
            </a:ext>
          </a:extLst>
        </xdr:cNvPr>
        <xdr:cNvSpPr txBox="1"/>
      </xdr:nvSpPr>
      <xdr:spPr>
        <a:xfrm>
          <a:off x="6498004" y="1622914"/>
          <a:ext cx="639152" cy="3621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12924</a:t>
          </a:r>
        </a:p>
      </xdr:txBody>
    </xdr:sp>
    <xdr:clientData/>
  </xdr:twoCellAnchor>
  <xdr:twoCellAnchor>
    <xdr:from>
      <xdr:col>14</xdr:col>
      <xdr:colOff>292100</xdr:colOff>
      <xdr:row>8</xdr:row>
      <xdr:rowOff>55929</xdr:rowOff>
    </xdr:from>
    <xdr:to>
      <xdr:col>16</xdr:col>
      <xdr:colOff>14898</xdr:colOff>
      <xdr:row>10</xdr:row>
      <xdr:rowOff>8304</xdr:rowOff>
    </xdr:to>
    <xdr:sp macro="" textlink="">
      <xdr:nvSpPr>
        <xdr:cNvPr id="15" name="TextBox 14">
          <a:extLst>
            <a:ext uri="{FF2B5EF4-FFF2-40B4-BE49-F238E27FC236}">
              <a16:creationId xmlns:a16="http://schemas.microsoft.com/office/drawing/2014/main" id="{F9B820D2-E907-41C9-B717-675AD5782955}"/>
            </a:ext>
          </a:extLst>
        </xdr:cNvPr>
        <xdr:cNvSpPr txBox="1"/>
      </xdr:nvSpPr>
      <xdr:spPr>
        <a:xfrm>
          <a:off x="8840177" y="1619006"/>
          <a:ext cx="943952" cy="343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378.1818182</a:t>
          </a:r>
        </a:p>
      </xdr:txBody>
    </xdr:sp>
    <xdr:clientData/>
  </xdr:twoCellAnchor>
  <xdr:twoCellAnchor>
    <xdr:from>
      <xdr:col>0</xdr:col>
      <xdr:colOff>133350</xdr:colOff>
      <xdr:row>10</xdr:row>
      <xdr:rowOff>171450</xdr:rowOff>
    </xdr:from>
    <xdr:to>
      <xdr:col>25</xdr:col>
      <xdr:colOff>451826</xdr:colOff>
      <xdr:row>37</xdr:row>
      <xdr:rowOff>95249</xdr:rowOff>
    </xdr:to>
    <xdr:sp macro="" textlink="">
      <xdr:nvSpPr>
        <xdr:cNvPr id="16" name="Rectangle: Rounded Corners 15">
          <a:extLst>
            <a:ext uri="{FF2B5EF4-FFF2-40B4-BE49-F238E27FC236}">
              <a16:creationId xmlns:a16="http://schemas.microsoft.com/office/drawing/2014/main" id="{AF20E7C2-CDEB-430F-B5DC-81887DF995C1}"/>
            </a:ext>
          </a:extLst>
        </xdr:cNvPr>
        <xdr:cNvSpPr/>
      </xdr:nvSpPr>
      <xdr:spPr>
        <a:xfrm>
          <a:off x="133350" y="2125296"/>
          <a:ext cx="15582899" cy="5199184"/>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142874</xdr:colOff>
      <xdr:row>0</xdr:row>
      <xdr:rowOff>0</xdr:rowOff>
    </xdr:from>
    <xdr:to>
      <xdr:col>1</xdr:col>
      <xdr:colOff>209549</xdr:colOff>
      <xdr:row>2</xdr:row>
      <xdr:rowOff>133350</xdr:rowOff>
    </xdr:to>
    <xdr:pic>
      <xdr:nvPicPr>
        <xdr:cNvPr id="21" name="Graphic 20" descr="Social network">
          <a:extLst>
            <a:ext uri="{FF2B5EF4-FFF2-40B4-BE49-F238E27FC236}">
              <a16:creationId xmlns:a16="http://schemas.microsoft.com/office/drawing/2014/main" id="{422A5746-72F6-4703-A5AA-C5F0243CC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142874" y="0"/>
          <a:ext cx="676275" cy="514350"/>
        </a:xfrm>
        <a:prstGeom prst="rect">
          <a:avLst/>
        </a:prstGeom>
      </xdr:spPr>
    </xdr:pic>
    <xdr:clientData/>
  </xdr:twoCellAnchor>
  <xdr:twoCellAnchor>
    <xdr:from>
      <xdr:col>0</xdr:col>
      <xdr:colOff>171449</xdr:colOff>
      <xdr:row>11</xdr:row>
      <xdr:rowOff>57150</xdr:rowOff>
    </xdr:from>
    <xdr:to>
      <xdr:col>5</xdr:col>
      <xdr:colOff>123824</xdr:colOff>
      <xdr:row>13</xdr:row>
      <xdr:rowOff>0</xdr:rowOff>
    </xdr:to>
    <xdr:sp macro="" textlink="">
      <xdr:nvSpPr>
        <xdr:cNvPr id="22" name="TextBox 21">
          <a:extLst>
            <a:ext uri="{FF2B5EF4-FFF2-40B4-BE49-F238E27FC236}">
              <a16:creationId xmlns:a16="http://schemas.microsoft.com/office/drawing/2014/main" id="{E7A77662-5C2D-4A26-89CB-A8826EA68BF2}"/>
            </a:ext>
          </a:extLst>
        </xdr:cNvPr>
        <xdr:cNvSpPr txBox="1"/>
      </xdr:nvSpPr>
      <xdr:spPr>
        <a:xfrm>
          <a:off x="171449" y="2152650"/>
          <a:ext cx="30003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sentiment distribution</a:t>
          </a:r>
        </a:p>
        <a:p>
          <a:endParaRPr lang="en-US" sz="1100"/>
        </a:p>
        <a:p>
          <a:endParaRPr lang="en-US" sz="1100"/>
        </a:p>
      </xdr:txBody>
    </xdr:sp>
    <xdr:clientData/>
  </xdr:twoCellAnchor>
  <xdr:twoCellAnchor>
    <xdr:from>
      <xdr:col>0</xdr:col>
      <xdr:colOff>180975</xdr:colOff>
      <xdr:row>13</xdr:row>
      <xdr:rowOff>28573</xdr:rowOff>
    </xdr:from>
    <xdr:to>
      <xdr:col>5</xdr:col>
      <xdr:colOff>104775</xdr:colOff>
      <xdr:row>22</xdr:row>
      <xdr:rowOff>123825</xdr:rowOff>
    </xdr:to>
    <xdr:graphicFrame macro="">
      <xdr:nvGraphicFramePr>
        <xdr:cNvPr id="24" name="Chart 23">
          <a:extLst>
            <a:ext uri="{FF2B5EF4-FFF2-40B4-BE49-F238E27FC236}">
              <a16:creationId xmlns:a16="http://schemas.microsoft.com/office/drawing/2014/main" id="{B1EE258A-57BF-4935-9178-7BD5D0316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171450</xdr:colOff>
      <xdr:row>11</xdr:row>
      <xdr:rowOff>38100</xdr:rowOff>
    </xdr:from>
    <xdr:to>
      <xdr:col>11</xdr:col>
      <xdr:colOff>114300</xdr:colOff>
      <xdr:row>12</xdr:row>
      <xdr:rowOff>161925</xdr:rowOff>
    </xdr:to>
    <xdr:sp macro="" textlink="">
      <xdr:nvSpPr>
        <xdr:cNvPr id="25" name="TextBox 24">
          <a:extLst>
            <a:ext uri="{FF2B5EF4-FFF2-40B4-BE49-F238E27FC236}">
              <a16:creationId xmlns:a16="http://schemas.microsoft.com/office/drawing/2014/main" id="{5C587A5D-E099-48F1-87E9-B1CFD1E59192}"/>
            </a:ext>
          </a:extLst>
        </xdr:cNvPr>
        <xdr:cNvSpPr txBox="1"/>
      </xdr:nvSpPr>
      <xdr:spPr>
        <a:xfrm>
          <a:off x="3219450" y="2133600"/>
          <a:ext cx="3600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 </a:t>
          </a:r>
          <a:r>
            <a:rPr lang="en-US" sz="1100" b="1"/>
            <a:t>Tranding Topics</a:t>
          </a:r>
        </a:p>
      </xdr:txBody>
    </xdr:sp>
    <xdr:clientData/>
  </xdr:twoCellAnchor>
  <xdr:twoCellAnchor>
    <xdr:from>
      <xdr:col>5</xdr:col>
      <xdr:colOff>171450</xdr:colOff>
      <xdr:row>12</xdr:row>
      <xdr:rowOff>180975</xdr:rowOff>
    </xdr:from>
    <xdr:to>
      <xdr:col>11</xdr:col>
      <xdr:colOff>114300</xdr:colOff>
      <xdr:row>22</xdr:row>
      <xdr:rowOff>66674</xdr:rowOff>
    </xdr:to>
    <xdr:graphicFrame macro="">
      <xdr:nvGraphicFramePr>
        <xdr:cNvPr id="26" name="Chart 25">
          <a:extLst>
            <a:ext uri="{FF2B5EF4-FFF2-40B4-BE49-F238E27FC236}">
              <a16:creationId xmlns:a16="http://schemas.microsoft.com/office/drawing/2014/main" id="{14C41094-3E1E-4DFA-9528-BF05F5010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171449</xdr:colOff>
      <xdr:row>11</xdr:row>
      <xdr:rowOff>47625</xdr:rowOff>
    </xdr:from>
    <xdr:to>
      <xdr:col>16</xdr:col>
      <xdr:colOff>409575</xdr:colOff>
      <xdr:row>12</xdr:row>
      <xdr:rowOff>171450</xdr:rowOff>
    </xdr:to>
    <xdr:sp macro="" textlink="">
      <xdr:nvSpPr>
        <xdr:cNvPr id="27" name="TextBox 26">
          <a:extLst>
            <a:ext uri="{FF2B5EF4-FFF2-40B4-BE49-F238E27FC236}">
              <a16:creationId xmlns:a16="http://schemas.microsoft.com/office/drawing/2014/main" id="{7B6F33EC-66D9-45A5-8B45-1A3023AD9A88}"/>
            </a:ext>
          </a:extLst>
        </xdr:cNvPr>
        <xdr:cNvSpPr txBox="1"/>
      </xdr:nvSpPr>
      <xdr:spPr>
        <a:xfrm>
          <a:off x="6877049" y="2143125"/>
          <a:ext cx="3286126"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Plateform Analys</a:t>
          </a:r>
          <a:r>
            <a:rPr lang="en-US" sz="1100"/>
            <a:t>is</a:t>
          </a:r>
        </a:p>
      </xdr:txBody>
    </xdr:sp>
    <xdr:clientData/>
  </xdr:twoCellAnchor>
  <xdr:twoCellAnchor>
    <xdr:from>
      <xdr:col>11</xdr:col>
      <xdr:colOff>161924</xdr:colOff>
      <xdr:row>13</xdr:row>
      <xdr:rowOff>9526</xdr:rowOff>
    </xdr:from>
    <xdr:to>
      <xdr:col>16</xdr:col>
      <xdr:colOff>409575</xdr:colOff>
      <xdr:row>22</xdr:row>
      <xdr:rowOff>57150</xdr:rowOff>
    </xdr:to>
    <xdr:graphicFrame macro="">
      <xdr:nvGraphicFramePr>
        <xdr:cNvPr id="28" name="Chart 27">
          <a:extLst>
            <a:ext uri="{FF2B5EF4-FFF2-40B4-BE49-F238E27FC236}">
              <a16:creationId xmlns:a16="http://schemas.microsoft.com/office/drawing/2014/main" id="{400DC988-F244-448C-8139-AC7CF30E0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36634</xdr:colOff>
      <xdr:row>22</xdr:row>
      <xdr:rowOff>149714</xdr:rowOff>
    </xdr:from>
    <xdr:to>
      <xdr:col>12</xdr:col>
      <xdr:colOff>542925</xdr:colOff>
      <xdr:row>24</xdr:row>
      <xdr:rowOff>149714</xdr:rowOff>
    </xdr:to>
    <xdr:sp macro="" textlink="">
      <xdr:nvSpPr>
        <xdr:cNvPr id="29" name="TextBox 28">
          <a:extLst>
            <a:ext uri="{FF2B5EF4-FFF2-40B4-BE49-F238E27FC236}">
              <a16:creationId xmlns:a16="http://schemas.microsoft.com/office/drawing/2014/main" id="{8B978CF6-1E45-44C1-B537-575EE98DA9F5}"/>
            </a:ext>
          </a:extLst>
        </xdr:cNvPr>
        <xdr:cNvSpPr txBox="1"/>
      </xdr:nvSpPr>
      <xdr:spPr>
        <a:xfrm>
          <a:off x="3700096" y="4448176"/>
          <a:ext cx="4169752" cy="3907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Likes by Topic</a:t>
          </a:r>
        </a:p>
      </xdr:txBody>
    </xdr:sp>
    <xdr:clientData/>
  </xdr:twoCellAnchor>
  <xdr:twoCellAnchor>
    <xdr:from>
      <xdr:col>0</xdr:col>
      <xdr:colOff>161924</xdr:colOff>
      <xdr:row>23</xdr:row>
      <xdr:rowOff>0</xdr:rowOff>
    </xdr:from>
    <xdr:to>
      <xdr:col>5</xdr:col>
      <xdr:colOff>598364</xdr:colOff>
      <xdr:row>24</xdr:row>
      <xdr:rowOff>180975</xdr:rowOff>
    </xdr:to>
    <xdr:sp macro="" textlink="">
      <xdr:nvSpPr>
        <xdr:cNvPr id="30" name="TextBox 29">
          <a:extLst>
            <a:ext uri="{FF2B5EF4-FFF2-40B4-BE49-F238E27FC236}">
              <a16:creationId xmlns:a16="http://schemas.microsoft.com/office/drawing/2014/main" id="{CD3D1F74-6A31-4F82-A98F-BD68EEF91D9E}"/>
            </a:ext>
          </a:extLst>
        </xdr:cNvPr>
        <xdr:cNvSpPr txBox="1"/>
      </xdr:nvSpPr>
      <xdr:spPr>
        <a:xfrm>
          <a:off x="161924" y="4493846"/>
          <a:ext cx="3489325" cy="376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Monthly Activity</a:t>
          </a:r>
        </a:p>
      </xdr:txBody>
    </xdr:sp>
    <xdr:clientData/>
  </xdr:twoCellAnchor>
  <xdr:twoCellAnchor>
    <xdr:from>
      <xdr:col>0</xdr:col>
      <xdr:colOff>152400</xdr:colOff>
      <xdr:row>25</xdr:row>
      <xdr:rowOff>19050</xdr:rowOff>
    </xdr:from>
    <xdr:to>
      <xdr:col>5</xdr:col>
      <xdr:colOff>561730</xdr:colOff>
      <xdr:row>37</xdr:row>
      <xdr:rowOff>48846</xdr:rowOff>
    </xdr:to>
    <xdr:graphicFrame macro="">
      <xdr:nvGraphicFramePr>
        <xdr:cNvPr id="31" name="Chart 30">
          <a:extLst>
            <a:ext uri="{FF2B5EF4-FFF2-40B4-BE49-F238E27FC236}">
              <a16:creationId xmlns:a16="http://schemas.microsoft.com/office/drawing/2014/main" id="{071EB221-C4B8-4D21-A673-7E2289D59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36635</xdr:colOff>
      <xdr:row>24</xdr:row>
      <xdr:rowOff>158750</xdr:rowOff>
    </xdr:from>
    <xdr:to>
      <xdr:col>12</xdr:col>
      <xdr:colOff>550986</xdr:colOff>
      <xdr:row>36</xdr:row>
      <xdr:rowOff>183173</xdr:rowOff>
    </xdr:to>
    <xdr:graphicFrame macro="">
      <xdr:nvGraphicFramePr>
        <xdr:cNvPr id="32" name="Chart 31">
          <a:extLst>
            <a:ext uri="{FF2B5EF4-FFF2-40B4-BE49-F238E27FC236}">
              <a16:creationId xmlns:a16="http://schemas.microsoft.com/office/drawing/2014/main" id="{363946ED-6E70-4CF9-ADAC-479C530F2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591771</xdr:colOff>
      <xdr:row>24</xdr:row>
      <xdr:rowOff>158749</xdr:rowOff>
    </xdr:from>
    <xdr:to>
      <xdr:col>24</xdr:col>
      <xdr:colOff>109903</xdr:colOff>
      <xdr:row>36</xdr:row>
      <xdr:rowOff>170961</xdr:rowOff>
    </xdr:to>
    <xdr:graphicFrame macro="">
      <xdr:nvGraphicFramePr>
        <xdr:cNvPr id="33" name="Chart 32">
          <a:extLst>
            <a:ext uri="{FF2B5EF4-FFF2-40B4-BE49-F238E27FC236}">
              <a16:creationId xmlns:a16="http://schemas.microsoft.com/office/drawing/2014/main" id="{C1458CC5-7EA1-4615-86F0-07DC74896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581025</xdr:colOff>
      <xdr:row>22</xdr:row>
      <xdr:rowOff>156552</xdr:rowOff>
    </xdr:from>
    <xdr:to>
      <xdr:col>24</xdr:col>
      <xdr:colOff>134327</xdr:colOff>
      <xdr:row>24</xdr:row>
      <xdr:rowOff>127977</xdr:rowOff>
    </xdr:to>
    <xdr:sp macro="" textlink="">
      <xdr:nvSpPr>
        <xdr:cNvPr id="34" name="TextBox 33">
          <a:extLst>
            <a:ext uri="{FF2B5EF4-FFF2-40B4-BE49-F238E27FC236}">
              <a16:creationId xmlns:a16="http://schemas.microsoft.com/office/drawing/2014/main" id="{14683D65-0FAD-4DF0-AAD9-63EF2D86156B}"/>
            </a:ext>
          </a:extLst>
        </xdr:cNvPr>
        <xdr:cNvSpPr txBox="1"/>
      </xdr:nvSpPr>
      <xdr:spPr>
        <a:xfrm>
          <a:off x="7907948" y="4455014"/>
          <a:ext cx="6880225" cy="3621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Table Chart</a:t>
          </a:r>
        </a:p>
      </xdr:txBody>
    </xdr:sp>
    <xdr:clientData/>
  </xdr:twoCellAnchor>
  <xdr:twoCellAnchor editAs="oneCell">
    <xdr:from>
      <xdr:col>19</xdr:col>
      <xdr:colOff>522897</xdr:colOff>
      <xdr:row>3</xdr:row>
      <xdr:rowOff>85480</xdr:rowOff>
    </xdr:from>
    <xdr:to>
      <xdr:col>22</xdr:col>
      <xdr:colOff>522897</xdr:colOff>
      <xdr:row>14</xdr:row>
      <xdr:rowOff>146538</xdr:rowOff>
    </xdr:to>
    <mc:AlternateContent xmlns:mc="http://schemas.openxmlformats.org/markup-compatibility/2006" xmlns:a14="http://schemas.microsoft.com/office/drawing/2010/main">
      <mc:Choice Requires="a14">
        <xdr:graphicFrame macro="">
          <xdr:nvGraphicFramePr>
            <xdr:cNvPr id="17" name="Sentiment Score">
              <a:extLst>
                <a:ext uri="{FF2B5EF4-FFF2-40B4-BE49-F238E27FC236}">
                  <a16:creationId xmlns:a16="http://schemas.microsoft.com/office/drawing/2014/main" id="{FC826BF3-A41C-45BA-8844-640B12737DB4}"/>
                </a:ext>
              </a:extLst>
            </xdr:cNvPr>
            <xdr:cNvGraphicFramePr/>
          </xdr:nvGraphicFramePr>
          <xdr:xfrm>
            <a:off x="0" y="0"/>
            <a:ext cx="0" cy="0"/>
          </xdr:xfrm>
          <a:graphic>
            <a:graphicData uri="http://schemas.microsoft.com/office/drawing/2010/slicer">
              <sle:slicer xmlns:sle="http://schemas.microsoft.com/office/drawing/2010/slicer" name="Sentiment Score"/>
            </a:graphicData>
          </a:graphic>
        </xdr:graphicFrame>
      </mc:Choice>
      <mc:Fallback xmlns="">
        <xdr:sp macro="" textlink="">
          <xdr:nvSpPr>
            <xdr:cNvPr id="0" name=""/>
            <xdr:cNvSpPr>
              <a:spLocks noTextEdit="1"/>
            </xdr:cNvSpPr>
          </xdr:nvSpPr>
          <xdr:spPr>
            <a:xfrm>
              <a:off x="12123859" y="671634"/>
              <a:ext cx="1831730" cy="2210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479425</xdr:colOff>
      <xdr:row>3</xdr:row>
      <xdr:rowOff>73270</xdr:rowOff>
    </xdr:from>
    <xdr:to>
      <xdr:col>19</xdr:col>
      <xdr:colOff>479424</xdr:colOff>
      <xdr:row>22</xdr:row>
      <xdr:rowOff>63990</xdr:rowOff>
    </xdr:to>
    <mc:AlternateContent xmlns:mc="http://schemas.openxmlformats.org/markup-compatibility/2006" xmlns:a14="http://schemas.microsoft.com/office/drawing/2010/main">
      <mc:Choice Requires="a14">
        <xdr:graphicFrame macro="">
          <xdr:nvGraphicFramePr>
            <xdr:cNvPr id="18" name="Likes">
              <a:extLst>
                <a:ext uri="{FF2B5EF4-FFF2-40B4-BE49-F238E27FC236}">
                  <a16:creationId xmlns:a16="http://schemas.microsoft.com/office/drawing/2014/main" id="{B469300E-8DA7-4677-AEE0-62B1FFA83D75}"/>
                </a:ext>
              </a:extLst>
            </xdr:cNvPr>
            <xdr:cNvGraphicFramePr/>
          </xdr:nvGraphicFramePr>
          <xdr:xfrm>
            <a:off x="0" y="0"/>
            <a:ext cx="0" cy="0"/>
          </xdr:xfrm>
          <a:graphic>
            <a:graphicData uri="http://schemas.microsoft.com/office/drawing/2010/slicer">
              <sle:slicer xmlns:sle="http://schemas.microsoft.com/office/drawing/2010/slicer" name="Likes"/>
            </a:graphicData>
          </a:graphic>
        </xdr:graphicFrame>
      </mc:Choice>
      <mc:Fallback xmlns="">
        <xdr:sp macro="" textlink="">
          <xdr:nvSpPr>
            <xdr:cNvPr id="0" name=""/>
            <xdr:cNvSpPr>
              <a:spLocks noTextEdit="1"/>
            </xdr:cNvSpPr>
          </xdr:nvSpPr>
          <xdr:spPr>
            <a:xfrm>
              <a:off x="10248656" y="659424"/>
              <a:ext cx="1831730" cy="3703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89.014593402775" createdVersion="6" refreshedVersion="6" minRefreshableVersion="3" recordCount="120">
  <cacheSource type="worksheet">
    <worksheetSource name="Table1"/>
  </cacheSource>
  <cacheFields count="12">
    <cacheField name="Post_ID" numFmtId="0">
      <sharedItems containsSemiMixedTypes="0" containsString="0" containsNumber="1" containsInteger="1" minValue="1" maxValue="120"/>
    </cacheField>
    <cacheField name="User_Name" numFmtId="0">
      <sharedItems/>
    </cacheField>
    <cacheField name="Platform" numFmtId="0">
      <sharedItems count="4">
        <s v="Facebook"/>
        <s v="LinkedIn"/>
        <s v="Instagram"/>
        <s v="Twitter"/>
      </sharedItems>
    </cacheField>
    <cacheField name="Month" numFmtId="0">
      <sharedItems count="4">
        <s v="Jan"/>
        <s v="Feb"/>
        <s v="Mar"/>
        <s v="Apr"/>
      </sharedItems>
    </cacheField>
    <cacheField name="Date" numFmtId="14">
      <sharedItems containsSemiMixedTypes="0" containsNonDate="0" containsDate="1" containsString="0" minDate="2025-01-01T00:00:00" maxDate="2025-05-01T00:00:00"/>
    </cacheField>
    <cacheField name="Comment_Text" numFmtId="0">
      <sharedItems/>
    </cacheField>
    <cacheField name="Sentiment" numFmtId="0">
      <sharedItems count="3">
        <s v="Neutral"/>
        <s v="Positive"/>
        <s v="Negative"/>
      </sharedItems>
    </cacheField>
    <cacheField name="Sentiment Score" numFmtId="0">
      <sharedItems containsSemiMixedTypes="0" containsString="0" containsNumber="1" containsInteger="1" minValue="-1" maxValue="1" count="3">
        <n v="0"/>
        <n v="1"/>
        <n v="-1"/>
      </sharedItems>
    </cacheField>
    <cacheField name="Topic" numFmtId="0">
      <sharedItems count="6">
        <s v="E-commerce"/>
        <s v="AI"/>
        <s v="Technology"/>
        <s v="Education"/>
        <s v="Healthcare"/>
        <s v="Sports"/>
      </sharedItems>
    </cacheField>
    <cacheField name="Likes" numFmtId="0">
      <sharedItems containsSemiMixedTypes="0" containsString="0" containsNumber="1" containsInteger="1" minValue="1" maxValue="491" count="104">
        <n v="114"/>
        <n v="15"/>
        <n v="332"/>
        <n v="388"/>
        <n v="490"/>
        <n v="433"/>
        <n v="40"/>
        <n v="35"/>
        <n v="194"/>
        <n v="107"/>
        <n v="373"/>
        <n v="166"/>
        <n v="137"/>
        <n v="452"/>
        <n v="287"/>
        <n v="112"/>
        <n v="321"/>
        <n v="239"/>
        <n v="174"/>
        <n v="448"/>
        <n v="152"/>
        <n v="276"/>
        <n v="475"/>
        <n v="374"/>
        <n v="84"/>
        <n v="159"/>
        <n v="126"/>
        <n v="440"/>
        <n v="97"/>
        <n v="173"/>
        <n v="216"/>
        <n v="50"/>
        <n v="208"/>
        <n v="1"/>
        <n v="299"/>
        <n v="104"/>
        <n v="343"/>
        <n v="318"/>
        <n v="477"/>
        <n v="426"/>
        <n v="53"/>
        <n v="144"/>
        <n v="250"/>
        <n v="170"/>
        <n v="361"/>
        <n v="18"/>
        <n v="157"/>
        <n v="399"/>
        <n v="451"/>
        <n v="81"/>
        <n v="418"/>
        <n v="98"/>
        <n v="260"/>
        <n v="91"/>
        <n v="22"/>
        <n v="485"/>
        <n v="158"/>
        <n v="215"/>
        <n v="280"/>
        <n v="226"/>
        <n v="263"/>
        <n v="312"/>
        <n v="356"/>
        <n v="398"/>
        <n v="233"/>
        <n v="228"/>
        <n v="141"/>
        <n v="39"/>
        <n v="41"/>
        <n v="212"/>
        <n v="3"/>
        <n v="347"/>
        <n v="303"/>
        <n v="93"/>
        <n v="172"/>
        <n v="9"/>
        <n v="20"/>
        <n v="64"/>
        <n v="85"/>
        <n v="296"/>
        <n v="400"/>
        <n v="331"/>
        <n v="325"/>
        <n v="413"/>
        <n v="436"/>
        <n v="249"/>
        <n v="5"/>
        <n v="150"/>
        <n v="283"/>
        <n v="156"/>
        <n v="274"/>
        <n v="370"/>
        <n v="116"/>
        <n v="23"/>
        <n v="293"/>
        <n v="129"/>
        <n v="322"/>
        <n v="127"/>
        <n v="465"/>
        <n v="491"/>
        <n v="122"/>
        <n v="352"/>
        <n v="58"/>
        <n v="30"/>
      </sharedItems>
    </cacheField>
    <cacheField name="Shares" numFmtId="0">
      <sharedItems containsSemiMixedTypes="0" containsString="0" containsNumber="1" containsInteger="1" minValue="0" maxValue="199"/>
    </cacheField>
    <cacheField name="Comment_Count" numFmtId="0">
      <sharedItems containsSemiMixedTypes="0" containsString="0" containsNumber="1" containsInteger="1" minValue="1" maxValue="99"/>
    </cacheField>
  </cacheFields>
  <extLst>
    <ext xmlns:x14="http://schemas.microsoft.com/office/spreadsheetml/2009/9/main" uri="{725AE2AE-9491-48be-B2B4-4EB974FC3084}">
      <x14:pivotCacheDefinition pivotCacheId="490575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s v="Amit"/>
    <x v="0"/>
    <x v="0"/>
    <d v="2025-01-01T00:00:00"/>
    <s v="The product was launched today"/>
    <x v="0"/>
    <x v="0"/>
    <x v="0"/>
    <x v="0"/>
    <n v="35"/>
    <n v="94"/>
  </r>
  <r>
    <n v="2"/>
    <s v="Kavya"/>
    <x v="1"/>
    <x v="0"/>
    <d v="2025-01-02T00:00:00"/>
    <s v="Great service and amazing experience"/>
    <x v="1"/>
    <x v="1"/>
    <x v="1"/>
    <x v="1"/>
    <n v="23"/>
    <n v="27"/>
  </r>
  <r>
    <n v="3"/>
    <s v="Rohan"/>
    <x v="2"/>
    <x v="0"/>
    <d v="2025-01-03T00:00:00"/>
    <s v="Great service and amazing experience"/>
    <x v="1"/>
    <x v="1"/>
    <x v="2"/>
    <x v="2"/>
    <n v="179"/>
    <n v="69"/>
  </r>
  <r>
    <n v="4"/>
    <s v="Pooja"/>
    <x v="0"/>
    <x v="0"/>
    <d v="2025-01-04T00:00:00"/>
    <s v="Customer support is very slow"/>
    <x v="2"/>
    <x v="2"/>
    <x v="1"/>
    <x v="3"/>
    <n v="40"/>
    <n v="89"/>
  </r>
  <r>
    <n v="5"/>
    <s v="Vikas"/>
    <x v="2"/>
    <x v="0"/>
    <d v="2025-01-05T00:00:00"/>
    <s v="Not satisfied with the service"/>
    <x v="2"/>
    <x v="2"/>
    <x v="0"/>
    <x v="4"/>
    <n v="195"/>
    <n v="43"/>
  </r>
  <r>
    <n v="6"/>
    <s v="Arjun"/>
    <x v="3"/>
    <x v="0"/>
    <d v="2025-01-06T00:00:00"/>
    <s v="Great service and amazing experience"/>
    <x v="1"/>
    <x v="1"/>
    <x v="3"/>
    <x v="5"/>
    <n v="88"/>
    <n v="77"/>
  </r>
  <r>
    <n v="7"/>
    <s v="Pooja"/>
    <x v="3"/>
    <x v="0"/>
    <d v="2025-01-07T00:00:00"/>
    <s v="Terrible experience with the app"/>
    <x v="2"/>
    <x v="2"/>
    <x v="4"/>
    <x v="6"/>
    <n v="141"/>
    <n v="37"/>
  </r>
  <r>
    <n v="8"/>
    <s v="Kavya"/>
    <x v="2"/>
    <x v="0"/>
    <d v="2025-01-08T00:00:00"/>
    <s v="This is an informational post"/>
    <x v="0"/>
    <x v="0"/>
    <x v="2"/>
    <x v="7"/>
    <n v="11"/>
    <n v="84"/>
  </r>
  <r>
    <n v="9"/>
    <s v="Priya"/>
    <x v="2"/>
    <x v="0"/>
    <d v="2025-01-09T00:00:00"/>
    <s v="Very helpful and easy to use"/>
    <x v="1"/>
    <x v="1"/>
    <x v="1"/>
    <x v="8"/>
    <n v="71"/>
    <n v="58"/>
  </r>
  <r>
    <n v="10"/>
    <s v="Rahul"/>
    <x v="0"/>
    <x v="0"/>
    <d v="2025-01-10T00:00:00"/>
    <s v="This is an informational post"/>
    <x v="0"/>
    <x v="0"/>
    <x v="3"/>
    <x v="9"/>
    <n v="171"/>
    <n v="34"/>
  </r>
  <r>
    <n v="11"/>
    <s v="Kavya"/>
    <x v="2"/>
    <x v="0"/>
    <d v="2025-01-11T00:00:00"/>
    <s v="The product was launched today"/>
    <x v="0"/>
    <x v="0"/>
    <x v="5"/>
    <x v="10"/>
    <n v="62"/>
    <n v="20"/>
  </r>
  <r>
    <n v="12"/>
    <s v="Vikas"/>
    <x v="2"/>
    <x v="0"/>
    <d v="2025-01-12T00:00:00"/>
    <s v="The update introduced many bugs"/>
    <x v="2"/>
    <x v="2"/>
    <x v="2"/>
    <x v="11"/>
    <n v="196"/>
    <n v="99"/>
  </r>
  <r>
    <n v="13"/>
    <s v="Amit"/>
    <x v="0"/>
    <x v="0"/>
    <d v="2025-01-13T00:00:00"/>
    <s v="Loved the new feature"/>
    <x v="1"/>
    <x v="1"/>
    <x v="4"/>
    <x v="12"/>
    <n v="16"/>
    <n v="27"/>
  </r>
  <r>
    <n v="14"/>
    <s v="Sneha"/>
    <x v="1"/>
    <x v="0"/>
    <d v="2025-01-14T00:00:00"/>
    <s v="This is an informational post"/>
    <x v="0"/>
    <x v="0"/>
    <x v="4"/>
    <x v="13"/>
    <n v="164"/>
    <n v="58"/>
  </r>
  <r>
    <n v="15"/>
    <s v="Rahul"/>
    <x v="2"/>
    <x v="0"/>
    <d v="2025-01-15T00:00:00"/>
    <s v="Very helpful and easy to use"/>
    <x v="1"/>
    <x v="1"/>
    <x v="2"/>
    <x v="14"/>
    <n v="137"/>
    <n v="33"/>
  </r>
  <r>
    <n v="16"/>
    <s v="Kavya"/>
    <x v="1"/>
    <x v="0"/>
    <d v="2025-01-16T00:00:00"/>
    <s v="The event starts next week"/>
    <x v="0"/>
    <x v="0"/>
    <x v="3"/>
    <x v="15"/>
    <n v="35"/>
    <n v="65"/>
  </r>
  <r>
    <n v="17"/>
    <s v="Amit"/>
    <x v="3"/>
    <x v="0"/>
    <d v="2025-01-17T00:00:00"/>
    <s v="Terrible experience with the app"/>
    <x v="2"/>
    <x v="2"/>
    <x v="0"/>
    <x v="16"/>
    <n v="40"/>
    <n v="87"/>
  </r>
  <r>
    <n v="18"/>
    <s v="Arjun"/>
    <x v="1"/>
    <x v="0"/>
    <d v="2025-01-18T00:00:00"/>
    <s v="Terrible experience with the app"/>
    <x v="2"/>
    <x v="2"/>
    <x v="5"/>
    <x v="17"/>
    <n v="135"/>
    <n v="32"/>
  </r>
  <r>
    <n v="19"/>
    <s v="Priya"/>
    <x v="0"/>
    <x v="0"/>
    <d v="2025-01-19T00:00:00"/>
    <s v="The product was launched today"/>
    <x v="0"/>
    <x v="0"/>
    <x v="2"/>
    <x v="18"/>
    <n v="28"/>
    <n v="37"/>
  </r>
  <r>
    <n v="20"/>
    <s v="Pooja"/>
    <x v="3"/>
    <x v="0"/>
    <d v="2025-01-20T00:00:00"/>
    <s v="Customer support is very slow"/>
    <x v="2"/>
    <x v="2"/>
    <x v="2"/>
    <x v="19"/>
    <n v="184"/>
    <n v="33"/>
  </r>
  <r>
    <n v="21"/>
    <s v="Rohan"/>
    <x v="3"/>
    <x v="0"/>
    <d v="2025-01-21T00:00:00"/>
    <s v="I tried the feature yesterday"/>
    <x v="0"/>
    <x v="0"/>
    <x v="2"/>
    <x v="20"/>
    <n v="163"/>
    <n v="64"/>
  </r>
  <r>
    <n v="22"/>
    <s v="Rahul"/>
    <x v="0"/>
    <x v="0"/>
    <d v="2025-01-22T00:00:00"/>
    <s v="I tried the feature yesterday"/>
    <x v="0"/>
    <x v="0"/>
    <x v="0"/>
    <x v="21"/>
    <n v="199"/>
    <n v="67"/>
  </r>
  <r>
    <n v="23"/>
    <s v="Pooja"/>
    <x v="3"/>
    <x v="0"/>
    <d v="2025-01-23T00:00:00"/>
    <s v="Very helpful and easy to use"/>
    <x v="1"/>
    <x v="1"/>
    <x v="1"/>
    <x v="22"/>
    <n v="92"/>
    <n v="39"/>
  </r>
  <r>
    <n v="24"/>
    <s v="Sneha"/>
    <x v="3"/>
    <x v="0"/>
    <d v="2025-01-24T00:00:00"/>
    <s v="Great service and amazing experience"/>
    <x v="1"/>
    <x v="1"/>
    <x v="1"/>
    <x v="23"/>
    <n v="124"/>
    <n v="8"/>
  </r>
  <r>
    <n v="25"/>
    <s v="Rahul"/>
    <x v="1"/>
    <x v="0"/>
    <d v="2025-01-25T00:00:00"/>
    <s v="I tried the feature yesterday"/>
    <x v="0"/>
    <x v="0"/>
    <x v="5"/>
    <x v="24"/>
    <n v="67"/>
    <n v="67"/>
  </r>
  <r>
    <n v="26"/>
    <s v="Sneha"/>
    <x v="2"/>
    <x v="0"/>
    <d v="2025-01-26T00:00:00"/>
    <s v="The event starts next week"/>
    <x v="0"/>
    <x v="0"/>
    <x v="2"/>
    <x v="25"/>
    <n v="102"/>
    <n v="85"/>
  </r>
  <r>
    <n v="27"/>
    <s v="Pooja"/>
    <x v="1"/>
    <x v="0"/>
    <d v="2025-01-27T00:00:00"/>
    <s v="This is an informational post"/>
    <x v="0"/>
    <x v="0"/>
    <x v="1"/>
    <x v="26"/>
    <n v="57"/>
    <n v="8"/>
  </r>
  <r>
    <n v="28"/>
    <s v="Kavya"/>
    <x v="2"/>
    <x v="0"/>
    <d v="2025-01-28T00:00:00"/>
    <s v="Terrible experience with the app"/>
    <x v="2"/>
    <x v="2"/>
    <x v="5"/>
    <x v="15"/>
    <n v="1"/>
    <n v="9"/>
  </r>
  <r>
    <n v="29"/>
    <s v="Sneha"/>
    <x v="3"/>
    <x v="0"/>
    <d v="2025-01-29T00:00:00"/>
    <s v="The product was launched today"/>
    <x v="0"/>
    <x v="0"/>
    <x v="1"/>
    <x v="27"/>
    <n v="84"/>
    <n v="9"/>
  </r>
  <r>
    <n v="30"/>
    <s v="Vikas"/>
    <x v="1"/>
    <x v="0"/>
    <d v="2025-01-30T00:00:00"/>
    <s v="I tried the feature yesterday"/>
    <x v="0"/>
    <x v="0"/>
    <x v="0"/>
    <x v="21"/>
    <n v="33"/>
    <n v="92"/>
  </r>
  <r>
    <n v="31"/>
    <s v="Sneha"/>
    <x v="1"/>
    <x v="0"/>
    <d v="2025-01-31T00:00:00"/>
    <s v="The event starts next week"/>
    <x v="0"/>
    <x v="0"/>
    <x v="4"/>
    <x v="28"/>
    <n v="24"/>
    <n v="12"/>
  </r>
  <r>
    <n v="32"/>
    <s v="Neha"/>
    <x v="1"/>
    <x v="1"/>
    <d v="2025-02-01T00:00:00"/>
    <s v="The event starts next week"/>
    <x v="0"/>
    <x v="0"/>
    <x v="4"/>
    <x v="17"/>
    <n v="186"/>
    <n v="6"/>
  </r>
  <r>
    <n v="33"/>
    <s v="Amit"/>
    <x v="1"/>
    <x v="1"/>
    <d v="2025-02-02T00:00:00"/>
    <s v="The product was launched today"/>
    <x v="0"/>
    <x v="0"/>
    <x v="2"/>
    <x v="29"/>
    <n v="27"/>
    <n v="31"/>
  </r>
  <r>
    <n v="34"/>
    <s v="Rohan"/>
    <x v="1"/>
    <x v="1"/>
    <d v="2025-02-03T00:00:00"/>
    <s v="Loved the new feature"/>
    <x v="1"/>
    <x v="1"/>
    <x v="0"/>
    <x v="30"/>
    <n v="46"/>
    <n v="35"/>
  </r>
  <r>
    <n v="35"/>
    <s v="Priya"/>
    <x v="1"/>
    <x v="1"/>
    <d v="2025-02-04T00:00:00"/>
    <s v="Customer support is very slow"/>
    <x v="2"/>
    <x v="2"/>
    <x v="5"/>
    <x v="31"/>
    <n v="12"/>
    <n v="83"/>
  </r>
  <r>
    <n v="36"/>
    <s v="Priya"/>
    <x v="2"/>
    <x v="1"/>
    <d v="2025-02-05T00:00:00"/>
    <s v="The product was launched today"/>
    <x v="0"/>
    <x v="0"/>
    <x v="0"/>
    <x v="32"/>
    <n v="124"/>
    <n v="61"/>
  </r>
  <r>
    <n v="37"/>
    <s v="Amit"/>
    <x v="2"/>
    <x v="1"/>
    <d v="2025-02-06T00:00:00"/>
    <s v="Excellent customer support"/>
    <x v="1"/>
    <x v="1"/>
    <x v="4"/>
    <x v="33"/>
    <n v="99"/>
    <n v="33"/>
  </r>
  <r>
    <n v="38"/>
    <s v="Arjun"/>
    <x v="1"/>
    <x v="1"/>
    <d v="2025-02-07T00:00:00"/>
    <s v="Not satisfied with the service"/>
    <x v="2"/>
    <x v="2"/>
    <x v="0"/>
    <x v="28"/>
    <n v="75"/>
    <n v="27"/>
  </r>
  <r>
    <n v="39"/>
    <s v="Neha"/>
    <x v="3"/>
    <x v="1"/>
    <d v="2025-02-08T00:00:00"/>
    <s v="Great service and amazing experience"/>
    <x v="1"/>
    <x v="1"/>
    <x v="1"/>
    <x v="34"/>
    <n v="122"/>
    <n v="64"/>
  </r>
  <r>
    <n v="40"/>
    <s v="Amit"/>
    <x v="3"/>
    <x v="1"/>
    <d v="2025-02-09T00:00:00"/>
    <s v="I tried the feature yesterday"/>
    <x v="0"/>
    <x v="0"/>
    <x v="0"/>
    <x v="7"/>
    <n v="152"/>
    <n v="8"/>
  </r>
  <r>
    <n v="41"/>
    <s v="Arjun"/>
    <x v="3"/>
    <x v="1"/>
    <d v="2025-02-10T00:00:00"/>
    <s v="I tried the feature yesterday"/>
    <x v="0"/>
    <x v="0"/>
    <x v="5"/>
    <x v="26"/>
    <n v="148"/>
    <n v="76"/>
  </r>
  <r>
    <n v="42"/>
    <s v="Arjun"/>
    <x v="0"/>
    <x v="1"/>
    <d v="2025-02-11T00:00:00"/>
    <s v="Great service and amazing experience"/>
    <x v="1"/>
    <x v="1"/>
    <x v="3"/>
    <x v="35"/>
    <n v="171"/>
    <n v="91"/>
  </r>
  <r>
    <n v="43"/>
    <s v="Vikas"/>
    <x v="1"/>
    <x v="1"/>
    <d v="2025-02-12T00:00:00"/>
    <s v="Customer support is very slow"/>
    <x v="2"/>
    <x v="2"/>
    <x v="0"/>
    <x v="36"/>
    <n v="165"/>
    <n v="38"/>
  </r>
  <r>
    <n v="44"/>
    <s v="Priya"/>
    <x v="3"/>
    <x v="1"/>
    <d v="2025-02-13T00:00:00"/>
    <s v="Not satisfied with the service"/>
    <x v="2"/>
    <x v="2"/>
    <x v="4"/>
    <x v="37"/>
    <n v="144"/>
    <n v="12"/>
  </r>
  <r>
    <n v="45"/>
    <s v="Rohan"/>
    <x v="0"/>
    <x v="1"/>
    <d v="2025-02-14T00:00:00"/>
    <s v="Loved the new feature"/>
    <x v="1"/>
    <x v="1"/>
    <x v="0"/>
    <x v="38"/>
    <n v="89"/>
    <n v="8"/>
  </r>
  <r>
    <n v="46"/>
    <s v="Vikas"/>
    <x v="2"/>
    <x v="1"/>
    <d v="2025-02-15T00:00:00"/>
    <s v="Very helpful and easy to use"/>
    <x v="1"/>
    <x v="1"/>
    <x v="4"/>
    <x v="39"/>
    <n v="139"/>
    <n v="90"/>
  </r>
  <r>
    <n v="47"/>
    <s v="Rohan"/>
    <x v="0"/>
    <x v="1"/>
    <d v="2025-02-16T00:00:00"/>
    <s v="Terrible experience with the app"/>
    <x v="2"/>
    <x v="2"/>
    <x v="2"/>
    <x v="40"/>
    <n v="34"/>
    <n v="33"/>
  </r>
  <r>
    <n v="48"/>
    <s v="Rohan"/>
    <x v="2"/>
    <x v="1"/>
    <d v="2025-02-17T00:00:00"/>
    <s v="Great service and amazing experience"/>
    <x v="1"/>
    <x v="1"/>
    <x v="3"/>
    <x v="41"/>
    <n v="154"/>
    <n v="26"/>
  </r>
  <r>
    <n v="49"/>
    <s v="Sneha"/>
    <x v="0"/>
    <x v="1"/>
    <d v="2025-02-18T00:00:00"/>
    <s v="This is an informational post"/>
    <x v="0"/>
    <x v="0"/>
    <x v="5"/>
    <x v="42"/>
    <n v="64"/>
    <n v="6"/>
  </r>
  <r>
    <n v="50"/>
    <s v="Vikas"/>
    <x v="3"/>
    <x v="1"/>
    <d v="2025-02-19T00:00:00"/>
    <s v="Excellent customer support"/>
    <x v="1"/>
    <x v="1"/>
    <x v="1"/>
    <x v="43"/>
    <n v="197"/>
    <n v="16"/>
  </r>
  <r>
    <n v="51"/>
    <s v="Rahul"/>
    <x v="1"/>
    <x v="1"/>
    <d v="2025-02-20T00:00:00"/>
    <s v="This is an informational post"/>
    <x v="0"/>
    <x v="0"/>
    <x v="5"/>
    <x v="44"/>
    <n v="109"/>
    <n v="71"/>
  </r>
  <r>
    <n v="52"/>
    <s v="Priya"/>
    <x v="2"/>
    <x v="1"/>
    <d v="2025-02-21T00:00:00"/>
    <s v="Great service and amazing experience"/>
    <x v="1"/>
    <x v="1"/>
    <x v="5"/>
    <x v="45"/>
    <n v="94"/>
    <n v="74"/>
  </r>
  <r>
    <n v="53"/>
    <s v="Arjun"/>
    <x v="2"/>
    <x v="1"/>
    <d v="2025-02-22T00:00:00"/>
    <s v="I tried the feature yesterday"/>
    <x v="0"/>
    <x v="0"/>
    <x v="1"/>
    <x v="46"/>
    <n v="93"/>
    <n v="5"/>
  </r>
  <r>
    <n v="54"/>
    <s v="Sneha"/>
    <x v="3"/>
    <x v="1"/>
    <d v="2025-02-23T00:00:00"/>
    <s v="Customer support is very slow"/>
    <x v="2"/>
    <x v="2"/>
    <x v="3"/>
    <x v="47"/>
    <n v="143"/>
    <n v="52"/>
  </r>
  <r>
    <n v="55"/>
    <s v="Sneha"/>
    <x v="2"/>
    <x v="1"/>
    <d v="2025-02-24T00:00:00"/>
    <s v="I tried the feature yesterday"/>
    <x v="0"/>
    <x v="0"/>
    <x v="0"/>
    <x v="48"/>
    <n v="105"/>
    <n v="3"/>
  </r>
  <r>
    <n v="56"/>
    <s v="Arjun"/>
    <x v="2"/>
    <x v="1"/>
    <d v="2025-02-25T00:00:00"/>
    <s v="Very helpful and easy to use"/>
    <x v="1"/>
    <x v="1"/>
    <x v="3"/>
    <x v="49"/>
    <n v="179"/>
    <n v="13"/>
  </r>
  <r>
    <n v="57"/>
    <s v="Pooja"/>
    <x v="2"/>
    <x v="1"/>
    <d v="2025-02-26T00:00:00"/>
    <s v="Terrible experience with the app"/>
    <x v="2"/>
    <x v="2"/>
    <x v="0"/>
    <x v="50"/>
    <n v="117"/>
    <n v="44"/>
  </r>
  <r>
    <n v="58"/>
    <s v="Sneha"/>
    <x v="3"/>
    <x v="1"/>
    <d v="2025-02-27T00:00:00"/>
    <s v="Customer support is very slow"/>
    <x v="2"/>
    <x v="2"/>
    <x v="2"/>
    <x v="51"/>
    <n v="102"/>
    <n v="42"/>
  </r>
  <r>
    <n v="59"/>
    <s v="Vikas"/>
    <x v="0"/>
    <x v="1"/>
    <d v="2025-02-28T00:00:00"/>
    <s v="Terrible experience with the app"/>
    <x v="2"/>
    <x v="2"/>
    <x v="2"/>
    <x v="52"/>
    <n v="102"/>
    <n v="86"/>
  </r>
  <r>
    <n v="60"/>
    <s v="Amit"/>
    <x v="3"/>
    <x v="2"/>
    <d v="2025-03-01T00:00:00"/>
    <s v="This is an informational post"/>
    <x v="0"/>
    <x v="0"/>
    <x v="3"/>
    <x v="53"/>
    <n v="148"/>
    <n v="33"/>
  </r>
  <r>
    <n v="61"/>
    <s v="Kavya"/>
    <x v="1"/>
    <x v="2"/>
    <d v="2025-03-02T00:00:00"/>
    <s v="Great service and amazing experience"/>
    <x v="1"/>
    <x v="1"/>
    <x v="3"/>
    <x v="10"/>
    <n v="80"/>
    <n v="55"/>
  </r>
  <r>
    <n v="62"/>
    <s v="Arjun"/>
    <x v="2"/>
    <x v="2"/>
    <d v="2025-03-03T00:00:00"/>
    <s v="The product was launched today"/>
    <x v="0"/>
    <x v="0"/>
    <x v="3"/>
    <x v="54"/>
    <n v="181"/>
    <n v="55"/>
  </r>
  <r>
    <n v="63"/>
    <s v="Neha"/>
    <x v="1"/>
    <x v="2"/>
    <d v="2025-03-04T00:00:00"/>
    <s v="Loved the new feature"/>
    <x v="1"/>
    <x v="1"/>
    <x v="1"/>
    <x v="55"/>
    <n v="170"/>
    <n v="42"/>
  </r>
  <r>
    <n v="64"/>
    <s v="Priya"/>
    <x v="0"/>
    <x v="2"/>
    <d v="2025-03-05T00:00:00"/>
    <s v="This is an informational post"/>
    <x v="0"/>
    <x v="0"/>
    <x v="5"/>
    <x v="56"/>
    <n v="170"/>
    <n v="52"/>
  </r>
  <r>
    <n v="65"/>
    <s v="Vikas"/>
    <x v="2"/>
    <x v="2"/>
    <d v="2025-03-06T00:00:00"/>
    <s v="The update introduced many bugs"/>
    <x v="2"/>
    <x v="2"/>
    <x v="0"/>
    <x v="57"/>
    <n v="170"/>
    <n v="48"/>
  </r>
  <r>
    <n v="66"/>
    <s v="Kavya"/>
    <x v="0"/>
    <x v="2"/>
    <d v="2025-03-07T00:00:00"/>
    <s v="I tried the feature yesterday"/>
    <x v="0"/>
    <x v="0"/>
    <x v="4"/>
    <x v="58"/>
    <n v="0"/>
    <n v="38"/>
  </r>
  <r>
    <n v="67"/>
    <s v="Arjun"/>
    <x v="0"/>
    <x v="2"/>
    <d v="2025-03-08T00:00:00"/>
    <s v="Customer support is very slow"/>
    <x v="2"/>
    <x v="2"/>
    <x v="4"/>
    <x v="59"/>
    <n v="113"/>
    <n v="86"/>
  </r>
  <r>
    <n v="68"/>
    <s v="Rahul"/>
    <x v="3"/>
    <x v="2"/>
    <d v="2025-03-09T00:00:00"/>
    <s v="Excellent customer support"/>
    <x v="1"/>
    <x v="1"/>
    <x v="3"/>
    <x v="60"/>
    <n v="169"/>
    <n v="81"/>
  </r>
  <r>
    <n v="69"/>
    <s v="Priya"/>
    <x v="2"/>
    <x v="2"/>
    <d v="2025-03-10T00:00:00"/>
    <s v="This is an informational post"/>
    <x v="0"/>
    <x v="0"/>
    <x v="2"/>
    <x v="56"/>
    <n v="57"/>
    <n v="25"/>
  </r>
  <r>
    <n v="70"/>
    <s v="Amit"/>
    <x v="2"/>
    <x v="2"/>
    <d v="2025-03-11T00:00:00"/>
    <s v="Great service and amazing experience"/>
    <x v="1"/>
    <x v="1"/>
    <x v="4"/>
    <x v="61"/>
    <n v="196"/>
    <n v="9"/>
  </r>
  <r>
    <n v="71"/>
    <s v="Kavya"/>
    <x v="2"/>
    <x v="2"/>
    <d v="2025-03-12T00:00:00"/>
    <s v="The update introduced many bugs"/>
    <x v="2"/>
    <x v="2"/>
    <x v="2"/>
    <x v="62"/>
    <n v="98"/>
    <n v="63"/>
  </r>
  <r>
    <n v="72"/>
    <s v="Rahul"/>
    <x v="3"/>
    <x v="2"/>
    <d v="2025-03-13T00:00:00"/>
    <s v="Customer support is very slow"/>
    <x v="2"/>
    <x v="2"/>
    <x v="1"/>
    <x v="63"/>
    <n v="108"/>
    <n v="28"/>
  </r>
  <r>
    <n v="73"/>
    <s v="Amit"/>
    <x v="2"/>
    <x v="2"/>
    <d v="2025-03-14T00:00:00"/>
    <s v="Excellent customer support"/>
    <x v="1"/>
    <x v="1"/>
    <x v="1"/>
    <x v="64"/>
    <n v="34"/>
    <n v="59"/>
  </r>
  <r>
    <n v="74"/>
    <s v="Pooja"/>
    <x v="1"/>
    <x v="2"/>
    <d v="2025-03-15T00:00:00"/>
    <s v="This is an informational post"/>
    <x v="0"/>
    <x v="0"/>
    <x v="5"/>
    <x v="65"/>
    <n v="40"/>
    <n v="95"/>
  </r>
  <r>
    <n v="75"/>
    <s v="Vikas"/>
    <x v="2"/>
    <x v="2"/>
    <d v="2025-03-16T00:00:00"/>
    <s v="The update introduced many bugs"/>
    <x v="2"/>
    <x v="2"/>
    <x v="2"/>
    <x v="66"/>
    <n v="196"/>
    <n v="99"/>
  </r>
  <r>
    <n v="76"/>
    <s v="Sneha"/>
    <x v="0"/>
    <x v="2"/>
    <d v="2025-03-17T00:00:00"/>
    <s v="The event starts next week"/>
    <x v="0"/>
    <x v="0"/>
    <x v="4"/>
    <x v="67"/>
    <n v="182"/>
    <n v="36"/>
  </r>
  <r>
    <n v="77"/>
    <s v="Neha"/>
    <x v="0"/>
    <x v="2"/>
    <d v="2025-03-18T00:00:00"/>
    <s v="Very helpful and easy to use"/>
    <x v="1"/>
    <x v="1"/>
    <x v="5"/>
    <x v="68"/>
    <n v="35"/>
    <n v="19"/>
  </r>
  <r>
    <n v="78"/>
    <s v="Rahul"/>
    <x v="2"/>
    <x v="2"/>
    <d v="2025-03-19T00:00:00"/>
    <s v="Excellent customer support"/>
    <x v="1"/>
    <x v="1"/>
    <x v="1"/>
    <x v="69"/>
    <n v="104"/>
    <n v="42"/>
  </r>
  <r>
    <n v="79"/>
    <s v="Arjun"/>
    <x v="3"/>
    <x v="2"/>
    <d v="2025-03-20T00:00:00"/>
    <s v="The event starts next week"/>
    <x v="0"/>
    <x v="0"/>
    <x v="0"/>
    <x v="39"/>
    <n v="107"/>
    <n v="49"/>
  </r>
  <r>
    <n v="80"/>
    <s v="Kavya"/>
    <x v="1"/>
    <x v="2"/>
    <d v="2025-03-21T00:00:00"/>
    <s v="The product was launched today"/>
    <x v="0"/>
    <x v="0"/>
    <x v="4"/>
    <x v="70"/>
    <n v="90"/>
    <n v="38"/>
  </r>
  <r>
    <n v="81"/>
    <s v="Rohan"/>
    <x v="2"/>
    <x v="2"/>
    <d v="2025-03-22T00:00:00"/>
    <s v="The update introduced many bugs"/>
    <x v="2"/>
    <x v="2"/>
    <x v="4"/>
    <x v="15"/>
    <n v="69"/>
    <n v="55"/>
  </r>
  <r>
    <n v="82"/>
    <s v="Arjun"/>
    <x v="0"/>
    <x v="2"/>
    <d v="2025-03-23T00:00:00"/>
    <s v="Terrible experience with the app"/>
    <x v="2"/>
    <x v="2"/>
    <x v="2"/>
    <x v="71"/>
    <n v="103"/>
    <n v="92"/>
  </r>
  <r>
    <n v="83"/>
    <s v="Rahul"/>
    <x v="3"/>
    <x v="2"/>
    <d v="2025-03-24T00:00:00"/>
    <s v="Excellent customer support"/>
    <x v="1"/>
    <x v="1"/>
    <x v="4"/>
    <x v="72"/>
    <n v="144"/>
    <n v="84"/>
  </r>
  <r>
    <n v="84"/>
    <s v="Arjun"/>
    <x v="2"/>
    <x v="2"/>
    <d v="2025-03-25T00:00:00"/>
    <s v="Great service and amazing experience"/>
    <x v="1"/>
    <x v="1"/>
    <x v="4"/>
    <x v="73"/>
    <n v="12"/>
    <n v="33"/>
  </r>
  <r>
    <n v="85"/>
    <s v="Sneha"/>
    <x v="1"/>
    <x v="2"/>
    <d v="2025-03-26T00:00:00"/>
    <s v="Not satisfied with the service"/>
    <x v="2"/>
    <x v="2"/>
    <x v="3"/>
    <x v="74"/>
    <n v="194"/>
    <n v="48"/>
  </r>
  <r>
    <n v="86"/>
    <s v="Vikas"/>
    <x v="3"/>
    <x v="2"/>
    <d v="2025-03-27T00:00:00"/>
    <s v="The update introduced many bugs"/>
    <x v="2"/>
    <x v="2"/>
    <x v="4"/>
    <x v="75"/>
    <n v="191"/>
    <n v="69"/>
  </r>
  <r>
    <n v="87"/>
    <s v="Sneha"/>
    <x v="3"/>
    <x v="2"/>
    <d v="2025-03-28T00:00:00"/>
    <s v="Very helpful and easy to use"/>
    <x v="1"/>
    <x v="1"/>
    <x v="2"/>
    <x v="76"/>
    <n v="193"/>
    <n v="3"/>
  </r>
  <r>
    <n v="88"/>
    <s v="Amit"/>
    <x v="2"/>
    <x v="2"/>
    <d v="2025-03-29T00:00:00"/>
    <s v="Loved the new feature"/>
    <x v="1"/>
    <x v="1"/>
    <x v="0"/>
    <x v="77"/>
    <n v="121"/>
    <n v="85"/>
  </r>
  <r>
    <n v="89"/>
    <s v="Pooja"/>
    <x v="0"/>
    <x v="2"/>
    <d v="2025-03-30T00:00:00"/>
    <s v="Loved the new feature"/>
    <x v="1"/>
    <x v="1"/>
    <x v="3"/>
    <x v="78"/>
    <n v="155"/>
    <n v="77"/>
  </r>
  <r>
    <n v="90"/>
    <s v="Rahul"/>
    <x v="0"/>
    <x v="2"/>
    <d v="2025-03-31T00:00:00"/>
    <s v="The product was launched today"/>
    <x v="0"/>
    <x v="0"/>
    <x v="1"/>
    <x v="79"/>
    <n v="6"/>
    <n v="39"/>
  </r>
  <r>
    <n v="91"/>
    <s v="Arjun"/>
    <x v="2"/>
    <x v="3"/>
    <d v="2025-04-01T00:00:00"/>
    <s v="The event starts next week"/>
    <x v="0"/>
    <x v="0"/>
    <x v="1"/>
    <x v="72"/>
    <n v="176"/>
    <n v="80"/>
  </r>
  <r>
    <n v="92"/>
    <s v="Vikas"/>
    <x v="3"/>
    <x v="3"/>
    <d v="2025-04-02T00:00:00"/>
    <s v="Great service and amazing experience"/>
    <x v="1"/>
    <x v="1"/>
    <x v="5"/>
    <x v="80"/>
    <n v="10"/>
    <n v="44"/>
  </r>
  <r>
    <n v="93"/>
    <s v="Neha"/>
    <x v="3"/>
    <x v="3"/>
    <d v="2025-04-03T00:00:00"/>
    <s v="The event starts next week"/>
    <x v="0"/>
    <x v="0"/>
    <x v="5"/>
    <x v="81"/>
    <n v="87"/>
    <n v="1"/>
  </r>
  <r>
    <n v="94"/>
    <s v="Priya"/>
    <x v="1"/>
    <x v="3"/>
    <d v="2025-04-04T00:00:00"/>
    <s v="The update introduced many bugs"/>
    <x v="2"/>
    <x v="2"/>
    <x v="3"/>
    <x v="82"/>
    <n v="117"/>
    <n v="90"/>
  </r>
  <r>
    <n v="95"/>
    <s v="Rahul"/>
    <x v="0"/>
    <x v="3"/>
    <d v="2025-04-05T00:00:00"/>
    <s v="Excellent customer support"/>
    <x v="1"/>
    <x v="1"/>
    <x v="5"/>
    <x v="83"/>
    <n v="137"/>
    <n v="99"/>
  </r>
  <r>
    <n v="96"/>
    <s v="Arjun"/>
    <x v="0"/>
    <x v="3"/>
    <d v="2025-04-06T00:00:00"/>
    <s v="The update introduced many bugs"/>
    <x v="2"/>
    <x v="2"/>
    <x v="3"/>
    <x v="84"/>
    <n v="62"/>
    <n v="11"/>
  </r>
  <r>
    <n v="97"/>
    <s v="Sneha"/>
    <x v="1"/>
    <x v="3"/>
    <d v="2025-04-07T00:00:00"/>
    <s v="The update introduced many bugs"/>
    <x v="2"/>
    <x v="2"/>
    <x v="5"/>
    <x v="61"/>
    <n v="171"/>
    <n v="48"/>
  </r>
  <r>
    <n v="98"/>
    <s v="Pooja"/>
    <x v="0"/>
    <x v="3"/>
    <d v="2025-04-08T00:00:00"/>
    <s v="Terrible experience with the app"/>
    <x v="2"/>
    <x v="2"/>
    <x v="0"/>
    <x v="85"/>
    <n v="54"/>
    <n v="45"/>
  </r>
  <r>
    <n v="99"/>
    <s v="Vikas"/>
    <x v="0"/>
    <x v="3"/>
    <d v="2025-04-09T00:00:00"/>
    <s v="Not satisfied with the service"/>
    <x v="2"/>
    <x v="2"/>
    <x v="5"/>
    <x v="86"/>
    <n v="132"/>
    <n v="24"/>
  </r>
  <r>
    <n v="100"/>
    <s v="Arjun"/>
    <x v="1"/>
    <x v="3"/>
    <d v="2025-04-10T00:00:00"/>
    <s v="Loved the new feature"/>
    <x v="1"/>
    <x v="1"/>
    <x v="5"/>
    <x v="3"/>
    <n v="61"/>
    <n v="88"/>
  </r>
  <r>
    <n v="101"/>
    <s v="Pooja"/>
    <x v="3"/>
    <x v="3"/>
    <d v="2025-04-11T00:00:00"/>
    <s v="The update introduced many bugs"/>
    <x v="2"/>
    <x v="2"/>
    <x v="1"/>
    <x v="87"/>
    <n v="56"/>
    <n v="51"/>
  </r>
  <r>
    <n v="102"/>
    <s v="Vikas"/>
    <x v="0"/>
    <x v="3"/>
    <d v="2025-04-12T00:00:00"/>
    <s v="I tried the feature yesterday"/>
    <x v="0"/>
    <x v="0"/>
    <x v="4"/>
    <x v="88"/>
    <n v="135"/>
    <n v="44"/>
  </r>
  <r>
    <n v="103"/>
    <s v="Neha"/>
    <x v="1"/>
    <x v="3"/>
    <d v="2025-04-13T00:00:00"/>
    <s v="Not satisfied with the service"/>
    <x v="2"/>
    <x v="2"/>
    <x v="3"/>
    <x v="89"/>
    <n v="64"/>
    <n v="29"/>
  </r>
  <r>
    <n v="104"/>
    <s v="Neha"/>
    <x v="3"/>
    <x v="3"/>
    <d v="2025-04-14T00:00:00"/>
    <s v="Loved the new feature"/>
    <x v="1"/>
    <x v="1"/>
    <x v="2"/>
    <x v="90"/>
    <n v="195"/>
    <n v="88"/>
  </r>
  <r>
    <n v="105"/>
    <s v="Sneha"/>
    <x v="1"/>
    <x v="3"/>
    <d v="2025-04-15T00:00:00"/>
    <s v="Loved the new feature"/>
    <x v="1"/>
    <x v="1"/>
    <x v="3"/>
    <x v="91"/>
    <n v="150"/>
    <n v="97"/>
  </r>
  <r>
    <n v="106"/>
    <s v="Priya"/>
    <x v="2"/>
    <x v="3"/>
    <d v="2025-04-16T00:00:00"/>
    <s v="This is an informational post"/>
    <x v="0"/>
    <x v="0"/>
    <x v="3"/>
    <x v="92"/>
    <n v="92"/>
    <n v="22"/>
  </r>
  <r>
    <n v="107"/>
    <s v="Rohan"/>
    <x v="2"/>
    <x v="3"/>
    <d v="2025-04-17T00:00:00"/>
    <s v="Terrible experience with the app"/>
    <x v="2"/>
    <x v="2"/>
    <x v="3"/>
    <x v="93"/>
    <n v="13"/>
    <n v="70"/>
  </r>
  <r>
    <n v="108"/>
    <s v="Pooja"/>
    <x v="3"/>
    <x v="3"/>
    <d v="2025-04-18T00:00:00"/>
    <s v="Customer support is very slow"/>
    <x v="2"/>
    <x v="2"/>
    <x v="1"/>
    <x v="94"/>
    <n v="72"/>
    <n v="60"/>
  </r>
  <r>
    <n v="109"/>
    <s v="Neha"/>
    <x v="2"/>
    <x v="3"/>
    <d v="2025-04-19T00:00:00"/>
    <s v="The update introduced many bugs"/>
    <x v="2"/>
    <x v="2"/>
    <x v="1"/>
    <x v="95"/>
    <n v="122"/>
    <n v="14"/>
  </r>
  <r>
    <n v="110"/>
    <s v="Pooja"/>
    <x v="3"/>
    <x v="3"/>
    <d v="2025-04-20T00:00:00"/>
    <s v="Excellent customer support"/>
    <x v="1"/>
    <x v="1"/>
    <x v="5"/>
    <x v="96"/>
    <n v="175"/>
    <n v="6"/>
  </r>
  <r>
    <n v="111"/>
    <s v="Kavya"/>
    <x v="0"/>
    <x v="3"/>
    <d v="2025-04-21T00:00:00"/>
    <s v="Loved the new feature"/>
    <x v="1"/>
    <x v="1"/>
    <x v="1"/>
    <x v="97"/>
    <n v="30"/>
    <n v="71"/>
  </r>
  <r>
    <n v="112"/>
    <s v="Rohan"/>
    <x v="1"/>
    <x v="3"/>
    <d v="2025-04-22T00:00:00"/>
    <s v="Customer support is very slow"/>
    <x v="2"/>
    <x v="2"/>
    <x v="4"/>
    <x v="98"/>
    <n v="113"/>
    <n v="38"/>
  </r>
  <r>
    <n v="113"/>
    <s v="Vikas"/>
    <x v="3"/>
    <x v="3"/>
    <d v="2025-04-23T00:00:00"/>
    <s v="The event starts next week"/>
    <x v="0"/>
    <x v="0"/>
    <x v="5"/>
    <x v="99"/>
    <n v="189"/>
    <n v="12"/>
  </r>
  <r>
    <n v="114"/>
    <s v="Vikas"/>
    <x v="3"/>
    <x v="3"/>
    <d v="2025-04-24T00:00:00"/>
    <s v="Loved the new feature"/>
    <x v="1"/>
    <x v="1"/>
    <x v="0"/>
    <x v="100"/>
    <n v="44"/>
    <n v="70"/>
  </r>
  <r>
    <n v="115"/>
    <s v="Amit"/>
    <x v="1"/>
    <x v="3"/>
    <d v="2025-04-25T00:00:00"/>
    <s v="Loved the new feature"/>
    <x v="1"/>
    <x v="1"/>
    <x v="4"/>
    <x v="101"/>
    <n v="152"/>
    <n v="60"/>
  </r>
  <r>
    <n v="116"/>
    <s v="Sneha"/>
    <x v="0"/>
    <x v="3"/>
    <d v="2025-04-26T00:00:00"/>
    <s v="Terrible experience with the app"/>
    <x v="2"/>
    <x v="2"/>
    <x v="2"/>
    <x v="41"/>
    <n v="179"/>
    <n v="58"/>
  </r>
  <r>
    <n v="117"/>
    <s v="Vikas"/>
    <x v="2"/>
    <x v="3"/>
    <d v="2025-04-27T00:00:00"/>
    <s v="Loved the new feature"/>
    <x v="1"/>
    <x v="1"/>
    <x v="4"/>
    <x v="102"/>
    <n v="139"/>
    <n v="28"/>
  </r>
  <r>
    <n v="118"/>
    <s v="Vikas"/>
    <x v="2"/>
    <x v="3"/>
    <d v="2025-04-28T00:00:00"/>
    <s v="I tried the feature yesterday"/>
    <x v="0"/>
    <x v="0"/>
    <x v="1"/>
    <x v="103"/>
    <n v="42"/>
    <n v="39"/>
  </r>
  <r>
    <n v="119"/>
    <s v="Pooja"/>
    <x v="3"/>
    <x v="3"/>
    <d v="2025-04-29T00:00:00"/>
    <s v="This is an informational post"/>
    <x v="0"/>
    <x v="0"/>
    <x v="4"/>
    <x v="101"/>
    <n v="77"/>
    <n v="89"/>
  </r>
  <r>
    <n v="120"/>
    <s v="Rohan"/>
    <x v="1"/>
    <x v="3"/>
    <d v="2025-04-30T00:00:00"/>
    <s v="Not satisfied with the service"/>
    <x v="2"/>
    <x v="2"/>
    <x v="4"/>
    <x v="68"/>
    <n v="15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2">
    <pivotField dataField="1" showAll="0"/>
    <pivotField showAll="0"/>
    <pivotField showAll="0"/>
    <pivotField axis="axisRow" showAll="0">
      <items count="5">
        <item x="0"/>
        <item x="1"/>
        <item x="2"/>
        <item x="3"/>
        <item t="default"/>
      </items>
    </pivotField>
    <pivotField numFmtId="14" showAll="0"/>
    <pivotField showAll="0"/>
    <pivotField showAll="0"/>
    <pivotField showAll="0">
      <items count="4">
        <item x="2"/>
        <item x="0"/>
        <item x="1"/>
        <item t="default"/>
      </items>
    </pivotField>
    <pivotField showAll="0"/>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3"/>
  </rowFields>
  <rowItems count="5">
    <i>
      <x/>
    </i>
    <i>
      <x v="1"/>
    </i>
    <i>
      <x v="2"/>
    </i>
    <i>
      <x v="3"/>
    </i>
    <i t="grand">
      <x/>
    </i>
  </rowItems>
  <colItems count="1">
    <i/>
  </colItems>
  <dataFields count="1">
    <dataField name="Count of Pos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2">
    <pivotField dataField="1" showAll="0"/>
    <pivotField showAll="0"/>
    <pivotField showAll="0"/>
    <pivotField showAll="0"/>
    <pivotField numFmtId="14" showAll="0"/>
    <pivotField showAll="0"/>
    <pivotField showAll="0"/>
    <pivotField showAll="0">
      <items count="4">
        <item x="2"/>
        <item x="0"/>
        <item x="1"/>
        <item t="default"/>
      </items>
    </pivotField>
    <pivotField axis="axisRow" showAll="0">
      <items count="7">
        <item x="1"/>
        <item x="0"/>
        <item x="3"/>
        <item x="4"/>
        <item x="5"/>
        <item x="2"/>
        <item t="default"/>
      </items>
    </pivotField>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8"/>
  </rowFields>
  <rowItems count="7">
    <i>
      <x/>
    </i>
    <i>
      <x v="1"/>
    </i>
    <i>
      <x v="2"/>
    </i>
    <i>
      <x v="3"/>
    </i>
    <i>
      <x v="4"/>
    </i>
    <i>
      <x v="5"/>
    </i>
    <i t="grand">
      <x/>
    </i>
  </rowItems>
  <colItems count="1">
    <i/>
  </colItems>
  <dataFields count="1">
    <dataField name="Sum of Post_ID" fld="0"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 chart="3" format="12">
      <pivotArea type="data" outline="0" fieldPosition="0">
        <references count="2">
          <reference field="4294967294" count="1" selected="0">
            <x v="0"/>
          </reference>
          <reference field="8" count="1" selected="0">
            <x v="3"/>
          </reference>
        </references>
      </pivotArea>
    </chartFormat>
    <chartFormat chart="3" format="13">
      <pivotArea type="data" outline="0" fieldPosition="0">
        <references count="2">
          <reference field="4294967294" count="1" selected="0">
            <x v="0"/>
          </reference>
          <reference field="8" count="1" selected="0">
            <x v="4"/>
          </reference>
        </references>
      </pivotArea>
    </chartFormat>
    <chartFormat chart="3" format="14">
      <pivotArea type="data" outline="0" fieldPosition="0">
        <references count="2">
          <reference field="4294967294" count="1" selected="0">
            <x v="0"/>
          </reference>
          <reference field="8" count="1" selected="0">
            <x v="5"/>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2">
    <pivotField dataField="1" showAll="0"/>
    <pivotField showAll="0"/>
    <pivotField axis="axisRow" showAll="0">
      <items count="5">
        <item x="0"/>
        <item x="2"/>
        <item x="1"/>
        <item x="3"/>
        <item t="default"/>
      </items>
    </pivotField>
    <pivotField showAll="0"/>
    <pivotField numFmtId="14" showAll="0"/>
    <pivotField showAll="0"/>
    <pivotField showAll="0"/>
    <pivotField showAll="0">
      <items count="4">
        <item x="2"/>
        <item x="0"/>
        <item x="1"/>
        <item t="default"/>
      </items>
    </pivotField>
    <pivotField showAll="0"/>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2"/>
  </rowFields>
  <rowItems count="5">
    <i>
      <x/>
    </i>
    <i>
      <x v="1"/>
    </i>
    <i>
      <x v="2"/>
    </i>
    <i>
      <x v="3"/>
    </i>
    <i t="grand">
      <x/>
    </i>
  </rowItems>
  <colItems count="1">
    <i/>
  </colItems>
  <dataFields count="1">
    <dataField name="Count of Post_ID"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2">
    <pivotField dataField="1" showAll="0"/>
    <pivotField showAll="0"/>
    <pivotField showAll="0"/>
    <pivotField showAll="0"/>
    <pivotField numFmtId="14" showAll="0"/>
    <pivotField showAll="0"/>
    <pivotField showAll="0"/>
    <pivotField showAll="0">
      <items count="4">
        <item x="2"/>
        <item x="0"/>
        <item x="1"/>
        <item t="default"/>
      </items>
    </pivotField>
    <pivotField axis="axisRow" showAll="0">
      <items count="7">
        <item x="1"/>
        <item x="0"/>
        <item x="3"/>
        <item x="4"/>
        <item x="5"/>
        <item x="2"/>
        <item t="default"/>
      </items>
    </pivotField>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8"/>
  </rowFields>
  <rowItems count="7">
    <i>
      <x/>
    </i>
    <i>
      <x v="1"/>
    </i>
    <i>
      <x v="2"/>
    </i>
    <i>
      <x v="3"/>
    </i>
    <i>
      <x v="4"/>
    </i>
    <i>
      <x v="5"/>
    </i>
    <i t="grand">
      <x/>
    </i>
  </rowItems>
  <colItems count="1">
    <i/>
  </colItems>
  <dataFields count="1">
    <dataField name="Count of Post_ID" fld="0" subtotal="count" baseField="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12">
    <pivotField dataField="1" showAll="0"/>
    <pivotField showAll="0"/>
    <pivotField showAll="0"/>
    <pivotField showAll="0"/>
    <pivotField numFmtId="14" showAll="0"/>
    <pivotField showAll="0"/>
    <pivotField axis="axisRow" showAll="0">
      <items count="4">
        <item x="2"/>
        <item x="0"/>
        <item x="1"/>
        <item t="default"/>
      </items>
    </pivotField>
    <pivotField showAll="0">
      <items count="4">
        <item x="2"/>
        <item x="0"/>
        <item x="1"/>
        <item t="default"/>
      </items>
    </pivotField>
    <pivotField showAll="0"/>
    <pivotField showAll="0">
      <items count="105">
        <item x="33"/>
        <item x="70"/>
        <item x="86"/>
        <item x="75"/>
        <item x="1"/>
        <item x="45"/>
        <item x="76"/>
        <item x="54"/>
        <item x="93"/>
        <item x="103"/>
        <item x="7"/>
        <item x="67"/>
        <item x="6"/>
        <item x="68"/>
        <item x="31"/>
        <item x="40"/>
        <item x="102"/>
        <item x="77"/>
        <item x="49"/>
        <item x="24"/>
        <item x="78"/>
        <item x="53"/>
        <item x="73"/>
        <item x="28"/>
        <item x="51"/>
        <item x="35"/>
        <item x="9"/>
        <item x="15"/>
        <item x="0"/>
        <item x="92"/>
        <item x="100"/>
        <item x="26"/>
        <item x="97"/>
        <item x="95"/>
        <item x="12"/>
        <item x="66"/>
        <item x="41"/>
        <item x="87"/>
        <item x="20"/>
        <item x="89"/>
        <item x="46"/>
        <item x="56"/>
        <item x="25"/>
        <item x="11"/>
        <item x="43"/>
        <item x="74"/>
        <item x="29"/>
        <item x="18"/>
        <item x="8"/>
        <item x="32"/>
        <item x="69"/>
        <item x="57"/>
        <item x="30"/>
        <item x="59"/>
        <item x="65"/>
        <item x="64"/>
        <item x="17"/>
        <item x="85"/>
        <item x="42"/>
        <item x="52"/>
        <item x="60"/>
        <item x="90"/>
        <item x="21"/>
        <item x="58"/>
        <item x="88"/>
        <item x="14"/>
        <item x="94"/>
        <item x="79"/>
        <item x="34"/>
        <item x="72"/>
        <item x="61"/>
        <item x="37"/>
        <item x="16"/>
        <item x="96"/>
        <item x="82"/>
        <item x="81"/>
        <item x="2"/>
        <item x="36"/>
        <item x="71"/>
        <item x="101"/>
        <item x="62"/>
        <item x="44"/>
        <item x="91"/>
        <item x="10"/>
        <item x="23"/>
        <item x="3"/>
        <item x="63"/>
        <item x="47"/>
        <item x="80"/>
        <item x="83"/>
        <item x="50"/>
        <item x="39"/>
        <item x="5"/>
        <item x="84"/>
        <item x="27"/>
        <item x="19"/>
        <item x="48"/>
        <item x="13"/>
        <item x="98"/>
        <item x="22"/>
        <item x="38"/>
        <item x="55"/>
        <item x="4"/>
        <item x="99"/>
        <item t="default"/>
      </items>
    </pivotField>
    <pivotField showAll="0"/>
    <pivotField showAll="0"/>
  </pivotFields>
  <rowFields count="1">
    <field x="6"/>
  </rowFields>
  <rowItems count="4">
    <i>
      <x/>
    </i>
    <i>
      <x v="1"/>
    </i>
    <i>
      <x v="2"/>
    </i>
    <i t="grand">
      <x/>
    </i>
  </rowItems>
  <colItems count="1">
    <i/>
  </colItems>
  <dataFields count="1">
    <dataField name="Count of Post_ID" fld="0" subtotal="count" baseField="6"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ntiment_Score" sourceName="Sentiment Score">
  <pivotTables>
    <pivotTable tabId="6" name="PivotTable5"/>
    <pivotTable tabId="3" name="PivotTable2"/>
    <pivotTable tabId="2" name="PivotTable1"/>
    <pivotTable tabId="4" name="PivotTable3"/>
    <pivotTable tabId="5" name="PivotTable4"/>
  </pivotTables>
  <data>
    <tabular pivotCacheId="49057567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ikes" sourceName="Likes">
  <pivotTables>
    <pivotTable tabId="3" name="PivotTable2"/>
    <pivotTable tabId="2" name="PivotTable1"/>
    <pivotTable tabId="4" name="PivotTable3"/>
    <pivotTable tabId="5" name="PivotTable4"/>
    <pivotTable tabId="6" name="PivotTable5"/>
  </pivotTables>
  <data>
    <tabular pivotCacheId="490575676">
      <items count="104">
        <i x="33" s="1"/>
        <i x="70" s="1"/>
        <i x="86" s="1"/>
        <i x="75" s="1"/>
        <i x="1" s="1"/>
        <i x="45" s="1"/>
        <i x="76" s="1"/>
        <i x="54" s="1"/>
        <i x="93" s="1"/>
        <i x="103" s="1"/>
        <i x="7" s="1"/>
        <i x="67" s="1"/>
        <i x="6" s="1"/>
        <i x="68" s="1"/>
        <i x="31" s="1"/>
        <i x="40" s="1"/>
        <i x="102" s="1"/>
        <i x="77" s="1"/>
        <i x="49" s="1"/>
        <i x="24" s="1"/>
        <i x="78" s="1"/>
        <i x="53" s="1"/>
        <i x="73" s="1"/>
        <i x="28" s="1"/>
        <i x="51" s="1"/>
        <i x="35" s="1"/>
        <i x="9" s="1"/>
        <i x="15" s="1"/>
        <i x="0" s="1"/>
        <i x="92" s="1"/>
        <i x="100" s="1"/>
        <i x="26" s="1"/>
        <i x="97" s="1"/>
        <i x="95" s="1"/>
        <i x="12" s="1"/>
        <i x="66" s="1"/>
        <i x="41" s="1"/>
        <i x="87" s="1"/>
        <i x="20" s="1"/>
        <i x="89" s="1"/>
        <i x="46" s="1"/>
        <i x="56" s="1"/>
        <i x="25" s="1"/>
        <i x="11" s="1"/>
        <i x="43" s="1"/>
        <i x="74" s="1"/>
        <i x="29" s="1"/>
        <i x="18" s="1"/>
        <i x="8" s="1"/>
        <i x="32" s="1"/>
        <i x="69" s="1"/>
        <i x="57" s="1"/>
        <i x="30" s="1"/>
        <i x="59" s="1"/>
        <i x="65" s="1"/>
        <i x="64" s="1"/>
        <i x="17" s="1"/>
        <i x="85" s="1"/>
        <i x="42" s="1"/>
        <i x="52" s="1"/>
        <i x="60" s="1"/>
        <i x="90" s="1"/>
        <i x="21" s="1"/>
        <i x="58" s="1"/>
        <i x="88" s="1"/>
        <i x="14" s="1"/>
        <i x="94" s="1"/>
        <i x="79" s="1"/>
        <i x="34" s="1"/>
        <i x="72" s="1"/>
        <i x="61" s="1"/>
        <i x="37" s="1"/>
        <i x="16" s="1"/>
        <i x="96" s="1"/>
        <i x="82" s="1"/>
        <i x="81" s="1"/>
        <i x="2" s="1"/>
        <i x="36" s="1"/>
        <i x="71" s="1"/>
        <i x="101" s="1"/>
        <i x="62" s="1"/>
        <i x="44" s="1"/>
        <i x="91" s="1"/>
        <i x="10" s="1"/>
        <i x="23" s="1"/>
        <i x="3" s="1"/>
        <i x="63" s="1"/>
        <i x="47" s="1"/>
        <i x="80" s="1"/>
        <i x="83" s="1"/>
        <i x="50" s="1"/>
        <i x="39" s="1"/>
        <i x="5" s="1"/>
        <i x="84" s="1"/>
        <i x="27" s="1"/>
        <i x="19" s="1"/>
        <i x="48" s="1"/>
        <i x="13" s="1"/>
        <i x="98" s="1"/>
        <i x="22" s="1"/>
        <i x="38" s="1"/>
        <i x="55" s="1"/>
        <i x="4" s="1"/>
        <i x="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ntiment Score" cache="Slicer_Sentiment_Score" caption="Sentiment Score" rowHeight="241300"/>
  <slicer name="Likes" cache="Slicer_Likes" caption="Likes" startItem="14" rowHeight="241300"/>
</slicers>
</file>

<file path=xl/tables/table1.xml><?xml version="1.0" encoding="utf-8"?>
<table xmlns="http://schemas.openxmlformats.org/spreadsheetml/2006/main" id="1" name="Table1" displayName="Table1" ref="A5:L125" totalsRowShown="0">
  <autoFilter ref="A5:L125"/>
  <tableColumns count="12">
    <tableColumn id="1" name="Post_ID"/>
    <tableColumn id="2" name="User_Name"/>
    <tableColumn id="3" name="Platform"/>
    <tableColumn id="4" name="Month">
      <calculatedColumnFormula>TEXT(Table1[[#This Row],[Date]],"mmm")</calculatedColumnFormula>
    </tableColumn>
    <tableColumn id="5" name="Date" dataDxfId="0"/>
    <tableColumn id="6" name="Comment_Text"/>
    <tableColumn id="7" name="Sentiment"/>
    <tableColumn id="8" name="Sentiment Score">
      <calculatedColumnFormula>IF(Table1[[#This Row],[Sentiment]]="Positive",1,IF(Table1[[#This Row],[Sentiment]]="Negative",-1,0))</calculatedColumnFormula>
    </tableColumn>
    <tableColumn id="9" name="Topic"/>
    <tableColumn id="10" name="Likes"/>
    <tableColumn id="11" name="Shares"/>
    <tableColumn id="12" name="Comment_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15</v>
      </c>
      <c r="B4" s="4">
        <v>31</v>
      </c>
    </row>
    <row r="5" spans="1:2" x14ac:dyDescent="0.25">
      <c r="A5" s="3" t="s">
        <v>48</v>
      </c>
      <c r="B5" s="4">
        <v>28</v>
      </c>
    </row>
    <row r="6" spans="1:2" x14ac:dyDescent="0.25">
      <c r="A6" s="3" t="s">
        <v>50</v>
      </c>
      <c r="B6" s="4">
        <v>31</v>
      </c>
    </row>
    <row r="7" spans="1:2" x14ac:dyDescent="0.25">
      <c r="A7" s="3" t="s">
        <v>51</v>
      </c>
      <c r="B7" s="4">
        <v>30</v>
      </c>
    </row>
    <row r="8" spans="1:2" x14ac:dyDescent="0.25">
      <c r="A8" s="3" t="s">
        <v>68</v>
      </c>
      <c r="B8" s="4">
        <v>120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
    </sheetView>
  </sheetViews>
  <sheetFormatPr defaultRowHeight="15" x14ac:dyDescent="0.25"/>
  <cols>
    <col min="1" max="1" width="13.140625" bestFit="1" customWidth="1"/>
    <col min="2" max="2" width="14.42578125" bestFit="1" customWidth="1"/>
  </cols>
  <sheetData>
    <row r="3" spans="1:2" x14ac:dyDescent="0.25">
      <c r="A3" s="2" t="s">
        <v>67</v>
      </c>
      <c r="B3" t="s">
        <v>69</v>
      </c>
    </row>
    <row r="4" spans="1:2" x14ac:dyDescent="0.25">
      <c r="A4" s="3" t="s">
        <v>23</v>
      </c>
      <c r="B4" s="4">
        <v>1274</v>
      </c>
    </row>
    <row r="5" spans="1:2" x14ac:dyDescent="0.25">
      <c r="A5" s="3" t="s">
        <v>18</v>
      </c>
      <c r="B5" s="4">
        <v>867</v>
      </c>
    </row>
    <row r="6" spans="1:2" x14ac:dyDescent="0.25">
      <c r="A6" s="3" t="s">
        <v>34</v>
      </c>
      <c r="B6" s="4">
        <v>1268</v>
      </c>
    </row>
    <row r="7" spans="1:2" x14ac:dyDescent="0.25">
      <c r="A7" s="3" t="s">
        <v>36</v>
      </c>
      <c r="B7" s="4">
        <v>1602</v>
      </c>
    </row>
    <row r="8" spans="1:2" x14ac:dyDescent="0.25">
      <c r="A8" s="3" t="s">
        <v>41</v>
      </c>
      <c r="B8" s="4">
        <v>1324</v>
      </c>
    </row>
    <row r="9" spans="1:2" x14ac:dyDescent="0.25">
      <c r="A9" s="3" t="s">
        <v>26</v>
      </c>
      <c r="B9" s="4">
        <v>925</v>
      </c>
    </row>
    <row r="10" spans="1:2" x14ac:dyDescent="0.25">
      <c r="A10" s="3" t="s">
        <v>68</v>
      </c>
      <c r="B10" s="4">
        <v>7260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E22" sqref="E22"/>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14</v>
      </c>
      <c r="B4" s="4">
        <v>26</v>
      </c>
    </row>
    <row r="5" spans="1:2" x14ac:dyDescent="0.25">
      <c r="A5" s="3" t="s">
        <v>25</v>
      </c>
      <c r="B5" s="4">
        <v>35</v>
      </c>
    </row>
    <row r="6" spans="1:2" x14ac:dyDescent="0.25">
      <c r="A6" s="3" t="s">
        <v>20</v>
      </c>
      <c r="B6" s="4">
        <v>28</v>
      </c>
    </row>
    <row r="7" spans="1:2" x14ac:dyDescent="0.25">
      <c r="A7" s="3" t="s">
        <v>33</v>
      </c>
      <c r="B7" s="4">
        <v>31</v>
      </c>
    </row>
    <row r="8" spans="1:2" x14ac:dyDescent="0.25">
      <c r="A8" s="3" t="s">
        <v>68</v>
      </c>
      <c r="B8" s="4">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E4" sqref="E4"/>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23</v>
      </c>
      <c r="B4" s="4">
        <v>21</v>
      </c>
    </row>
    <row r="5" spans="1:2" x14ac:dyDescent="0.25">
      <c r="A5" s="3" t="s">
        <v>18</v>
      </c>
      <c r="B5" s="4">
        <v>18</v>
      </c>
    </row>
    <row r="6" spans="1:2" x14ac:dyDescent="0.25">
      <c r="A6" s="3" t="s">
        <v>34</v>
      </c>
      <c r="B6" s="4">
        <v>19</v>
      </c>
    </row>
    <row r="7" spans="1:2" x14ac:dyDescent="0.25">
      <c r="A7" s="3" t="s">
        <v>36</v>
      </c>
      <c r="B7" s="4">
        <v>23</v>
      </c>
    </row>
    <row r="8" spans="1:2" x14ac:dyDescent="0.25">
      <c r="A8" s="3" t="s">
        <v>41</v>
      </c>
      <c r="B8" s="4">
        <v>20</v>
      </c>
    </row>
    <row r="9" spans="1:2" x14ac:dyDescent="0.25">
      <c r="A9" s="3" t="s">
        <v>26</v>
      </c>
      <c r="B9" s="4">
        <v>19</v>
      </c>
    </row>
    <row r="10" spans="1:2" x14ac:dyDescent="0.25">
      <c r="A10" s="3" t="s">
        <v>68</v>
      </c>
      <c r="B10" s="4">
        <v>120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140625" bestFit="1" customWidth="1"/>
    <col min="2" max="2" width="15.85546875" bestFit="1" customWidth="1"/>
  </cols>
  <sheetData>
    <row r="3" spans="1:2" x14ac:dyDescent="0.25">
      <c r="A3" s="2" t="s">
        <v>67</v>
      </c>
      <c r="B3" t="s">
        <v>70</v>
      </c>
    </row>
    <row r="4" spans="1:2" x14ac:dyDescent="0.25">
      <c r="A4" s="3" t="s">
        <v>29</v>
      </c>
      <c r="B4" s="4">
        <v>39</v>
      </c>
    </row>
    <row r="5" spans="1:2" x14ac:dyDescent="0.25">
      <c r="A5" s="3" t="s">
        <v>17</v>
      </c>
      <c r="B5" s="4">
        <v>41</v>
      </c>
    </row>
    <row r="6" spans="1:2" x14ac:dyDescent="0.25">
      <c r="A6" s="3" t="s">
        <v>22</v>
      </c>
      <c r="B6" s="4">
        <v>40</v>
      </c>
    </row>
    <row r="7" spans="1:2" x14ac:dyDescent="0.25">
      <c r="A7" s="3" t="s">
        <v>68</v>
      </c>
      <c r="B7" s="4">
        <v>120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1"/>
  <sheetViews>
    <sheetView topLeftCell="A4" workbookViewId="0">
      <selection activeCell="J177" sqref="J177"/>
    </sheetView>
  </sheetViews>
  <sheetFormatPr defaultColWidth="18.5703125" defaultRowHeight="15" x14ac:dyDescent="0.25"/>
  <cols>
    <col min="1" max="1" width="12.28515625" customWidth="1"/>
    <col min="3" max="3" width="14.7109375" customWidth="1"/>
    <col min="4" max="4" width="13.7109375" customWidth="1"/>
    <col min="5" max="5" width="14.7109375" customWidth="1"/>
    <col min="6" max="6" width="43.140625" customWidth="1"/>
  </cols>
  <sheetData>
    <row r="1" spans="1:12" x14ac:dyDescent="0.25">
      <c r="A1" t="s">
        <v>0</v>
      </c>
    </row>
    <row r="5" spans="1:12" x14ac:dyDescent="0.25">
      <c r="A5" t="s">
        <v>1</v>
      </c>
      <c r="B5" t="s">
        <v>2</v>
      </c>
      <c r="C5" t="s">
        <v>3</v>
      </c>
      <c r="D5" t="s">
        <v>4</v>
      </c>
      <c r="E5" t="s">
        <v>5</v>
      </c>
      <c r="F5" t="s">
        <v>6</v>
      </c>
      <c r="G5" t="s">
        <v>7</v>
      </c>
      <c r="H5" t="s">
        <v>8</v>
      </c>
      <c r="I5" t="s">
        <v>9</v>
      </c>
      <c r="J5" t="s">
        <v>10</v>
      </c>
      <c r="K5" t="s">
        <v>11</v>
      </c>
      <c r="L5" t="s">
        <v>12</v>
      </c>
    </row>
    <row r="6" spans="1:12" x14ac:dyDescent="0.25">
      <c r="A6">
        <v>1</v>
      </c>
      <c r="B6" t="s">
        <v>13</v>
      </c>
      <c r="C6" t="s">
        <v>14</v>
      </c>
      <c r="D6" t="str">
        <f>TEXT(Table1[[#This Row],[Date]],"mmm")</f>
        <v>Jan</v>
      </c>
      <c r="E6" s="1">
        <v>45658</v>
      </c>
      <c r="F6" t="s">
        <v>16</v>
      </c>
      <c r="G6" t="s">
        <v>17</v>
      </c>
      <c r="H6">
        <f>IF(Table1[[#This Row],[Sentiment]]="Positive",1,IF(Table1[[#This Row],[Sentiment]]="Negative",-1,0))</f>
        <v>0</v>
      </c>
      <c r="I6" t="s">
        <v>18</v>
      </c>
      <c r="J6">
        <v>114</v>
      </c>
      <c r="K6">
        <v>35</v>
      </c>
      <c r="L6">
        <v>94</v>
      </c>
    </row>
    <row r="7" spans="1:12" x14ac:dyDescent="0.25">
      <c r="A7">
        <v>2</v>
      </c>
      <c r="B7" t="s">
        <v>19</v>
      </c>
      <c r="C7" t="s">
        <v>20</v>
      </c>
      <c r="D7" t="str">
        <f>TEXT(Table1[[#This Row],[Date]],"mmm")</f>
        <v>Jan</v>
      </c>
      <c r="E7" s="1">
        <v>45659</v>
      </c>
      <c r="F7" t="s">
        <v>21</v>
      </c>
      <c r="G7" t="s">
        <v>22</v>
      </c>
      <c r="H7">
        <f>IF(Table1[[#This Row],[Sentiment]]="Positive",1,IF(Table1[[#This Row],[Sentiment]]="Negative",-1,0))</f>
        <v>1</v>
      </c>
      <c r="I7" t="s">
        <v>23</v>
      </c>
      <c r="J7">
        <v>15</v>
      </c>
      <c r="K7">
        <v>23</v>
      </c>
      <c r="L7">
        <v>27</v>
      </c>
    </row>
    <row r="8" spans="1:12" x14ac:dyDescent="0.25">
      <c r="A8">
        <v>3</v>
      </c>
      <c r="B8" t="s">
        <v>24</v>
      </c>
      <c r="C8" t="s">
        <v>25</v>
      </c>
      <c r="D8" t="str">
        <f>TEXT(Table1[[#This Row],[Date]],"mmm")</f>
        <v>Jan</v>
      </c>
      <c r="E8" s="1">
        <v>45660</v>
      </c>
      <c r="F8" t="s">
        <v>21</v>
      </c>
      <c r="G8" t="s">
        <v>22</v>
      </c>
      <c r="H8">
        <f>IF(Table1[[#This Row],[Sentiment]]="Positive",1,IF(Table1[[#This Row],[Sentiment]]="Negative",-1,0))</f>
        <v>1</v>
      </c>
      <c r="I8" t="s">
        <v>26</v>
      </c>
      <c r="J8">
        <v>332</v>
      </c>
      <c r="K8">
        <v>179</v>
      </c>
      <c r="L8">
        <v>69</v>
      </c>
    </row>
    <row r="9" spans="1:12" x14ac:dyDescent="0.25">
      <c r="A9">
        <v>4</v>
      </c>
      <c r="B9" t="s">
        <v>27</v>
      </c>
      <c r="C9" t="s">
        <v>14</v>
      </c>
      <c r="D9" t="str">
        <f>TEXT(Table1[[#This Row],[Date]],"mmm")</f>
        <v>Jan</v>
      </c>
      <c r="E9" s="1">
        <v>45661</v>
      </c>
      <c r="F9" t="s">
        <v>28</v>
      </c>
      <c r="G9" t="s">
        <v>29</v>
      </c>
      <c r="H9">
        <f>IF(Table1[[#This Row],[Sentiment]]="Positive",1,IF(Table1[[#This Row],[Sentiment]]="Negative",-1,0))</f>
        <v>-1</v>
      </c>
      <c r="I9" t="s">
        <v>23</v>
      </c>
      <c r="J9">
        <v>388</v>
      </c>
      <c r="K9">
        <v>40</v>
      </c>
      <c r="L9">
        <v>89</v>
      </c>
    </row>
    <row r="10" spans="1:12" x14ac:dyDescent="0.25">
      <c r="A10">
        <v>5</v>
      </c>
      <c r="B10" t="s">
        <v>30</v>
      </c>
      <c r="C10" t="s">
        <v>25</v>
      </c>
      <c r="D10" t="str">
        <f>TEXT(Table1[[#This Row],[Date]],"mmm")</f>
        <v>Jan</v>
      </c>
      <c r="E10" s="1">
        <v>45662</v>
      </c>
      <c r="F10" t="s">
        <v>31</v>
      </c>
      <c r="G10" t="s">
        <v>29</v>
      </c>
      <c r="H10">
        <f>IF(Table1[[#This Row],[Sentiment]]="Positive",1,IF(Table1[[#This Row],[Sentiment]]="Negative",-1,0))</f>
        <v>-1</v>
      </c>
      <c r="I10" t="s">
        <v>18</v>
      </c>
      <c r="J10">
        <v>490</v>
      </c>
      <c r="K10">
        <v>195</v>
      </c>
      <c r="L10">
        <v>43</v>
      </c>
    </row>
    <row r="11" spans="1:12" x14ac:dyDescent="0.25">
      <c r="A11">
        <v>6</v>
      </c>
      <c r="B11" t="s">
        <v>32</v>
      </c>
      <c r="C11" t="s">
        <v>33</v>
      </c>
      <c r="D11" t="str">
        <f>TEXT(Table1[[#This Row],[Date]],"mmm")</f>
        <v>Jan</v>
      </c>
      <c r="E11" s="1">
        <v>45663</v>
      </c>
      <c r="F11" t="s">
        <v>21</v>
      </c>
      <c r="G11" t="s">
        <v>22</v>
      </c>
      <c r="H11">
        <f>IF(Table1[[#This Row],[Sentiment]]="Positive",1,IF(Table1[[#This Row],[Sentiment]]="Negative",-1,0))</f>
        <v>1</v>
      </c>
      <c r="I11" t="s">
        <v>34</v>
      </c>
      <c r="J11">
        <v>433</v>
      </c>
      <c r="K11">
        <v>88</v>
      </c>
      <c r="L11">
        <v>77</v>
      </c>
    </row>
    <row r="12" spans="1:12" x14ac:dyDescent="0.25">
      <c r="A12">
        <v>7</v>
      </c>
      <c r="B12" t="s">
        <v>27</v>
      </c>
      <c r="C12" t="s">
        <v>33</v>
      </c>
      <c r="D12" t="str">
        <f>TEXT(Table1[[#This Row],[Date]],"mmm")</f>
        <v>Jan</v>
      </c>
      <c r="E12" s="1">
        <v>45664</v>
      </c>
      <c r="F12" t="s">
        <v>35</v>
      </c>
      <c r="G12" t="s">
        <v>29</v>
      </c>
      <c r="H12">
        <f>IF(Table1[[#This Row],[Sentiment]]="Positive",1,IF(Table1[[#This Row],[Sentiment]]="Negative",-1,0))</f>
        <v>-1</v>
      </c>
      <c r="I12" t="s">
        <v>36</v>
      </c>
      <c r="J12">
        <v>40</v>
      </c>
      <c r="K12">
        <v>141</v>
      </c>
      <c r="L12">
        <v>37</v>
      </c>
    </row>
    <row r="13" spans="1:12" x14ac:dyDescent="0.25">
      <c r="A13">
        <v>8</v>
      </c>
      <c r="B13" t="s">
        <v>19</v>
      </c>
      <c r="C13" t="s">
        <v>25</v>
      </c>
      <c r="D13" t="str">
        <f>TEXT(Table1[[#This Row],[Date]],"mmm")</f>
        <v>Jan</v>
      </c>
      <c r="E13" s="1">
        <v>45665</v>
      </c>
      <c r="F13" t="s">
        <v>37</v>
      </c>
      <c r="G13" t="s">
        <v>17</v>
      </c>
      <c r="H13">
        <f>IF(Table1[[#This Row],[Sentiment]]="Positive",1,IF(Table1[[#This Row],[Sentiment]]="Negative",-1,0))</f>
        <v>0</v>
      </c>
      <c r="I13" t="s">
        <v>26</v>
      </c>
      <c r="J13">
        <v>35</v>
      </c>
      <c r="K13">
        <v>11</v>
      </c>
      <c r="L13">
        <v>84</v>
      </c>
    </row>
    <row r="14" spans="1:12" x14ac:dyDescent="0.25">
      <c r="A14">
        <v>9</v>
      </c>
      <c r="B14" t="s">
        <v>38</v>
      </c>
      <c r="C14" t="s">
        <v>25</v>
      </c>
      <c r="D14" t="str">
        <f>TEXT(Table1[[#This Row],[Date]],"mmm")</f>
        <v>Jan</v>
      </c>
      <c r="E14" s="1">
        <v>45666</v>
      </c>
      <c r="F14" t="s">
        <v>39</v>
      </c>
      <c r="G14" t="s">
        <v>22</v>
      </c>
      <c r="H14">
        <f>IF(Table1[[#This Row],[Sentiment]]="Positive",1,IF(Table1[[#This Row],[Sentiment]]="Negative",-1,0))</f>
        <v>1</v>
      </c>
      <c r="I14" t="s">
        <v>23</v>
      </c>
      <c r="J14">
        <v>194</v>
      </c>
      <c r="K14">
        <v>71</v>
      </c>
      <c r="L14">
        <v>58</v>
      </c>
    </row>
    <row r="15" spans="1:12" x14ac:dyDescent="0.25">
      <c r="A15">
        <v>10</v>
      </c>
      <c r="B15" t="s">
        <v>40</v>
      </c>
      <c r="C15" t="s">
        <v>14</v>
      </c>
      <c r="D15" t="str">
        <f>TEXT(Table1[[#This Row],[Date]],"mmm")</f>
        <v>Jan</v>
      </c>
      <c r="E15" s="1">
        <v>45667</v>
      </c>
      <c r="F15" t="s">
        <v>37</v>
      </c>
      <c r="G15" t="s">
        <v>17</v>
      </c>
      <c r="H15">
        <f>IF(Table1[[#This Row],[Sentiment]]="Positive",1,IF(Table1[[#This Row],[Sentiment]]="Negative",-1,0))</f>
        <v>0</v>
      </c>
      <c r="I15" t="s">
        <v>34</v>
      </c>
      <c r="J15">
        <v>107</v>
      </c>
      <c r="K15">
        <v>171</v>
      </c>
      <c r="L15">
        <v>34</v>
      </c>
    </row>
    <row r="16" spans="1:12" x14ac:dyDescent="0.25">
      <c r="A16">
        <v>11</v>
      </c>
      <c r="B16" t="s">
        <v>19</v>
      </c>
      <c r="C16" t="s">
        <v>25</v>
      </c>
      <c r="D16" t="str">
        <f>TEXT(Table1[[#This Row],[Date]],"mmm")</f>
        <v>Jan</v>
      </c>
      <c r="E16" s="1">
        <v>45668</v>
      </c>
      <c r="F16" t="s">
        <v>16</v>
      </c>
      <c r="G16" t="s">
        <v>17</v>
      </c>
      <c r="H16">
        <f>IF(Table1[[#This Row],[Sentiment]]="Positive",1,IF(Table1[[#This Row],[Sentiment]]="Negative",-1,0))</f>
        <v>0</v>
      </c>
      <c r="I16" t="s">
        <v>41</v>
      </c>
      <c r="J16">
        <v>373</v>
      </c>
      <c r="K16">
        <v>62</v>
      </c>
      <c r="L16">
        <v>20</v>
      </c>
    </row>
    <row r="17" spans="1:12" x14ac:dyDescent="0.25">
      <c r="A17">
        <v>12</v>
      </c>
      <c r="B17" t="s">
        <v>30</v>
      </c>
      <c r="C17" t="s">
        <v>25</v>
      </c>
      <c r="D17" t="str">
        <f>TEXT(Table1[[#This Row],[Date]],"mmm")</f>
        <v>Jan</v>
      </c>
      <c r="E17" s="1">
        <v>45669</v>
      </c>
      <c r="F17" t="s">
        <v>42</v>
      </c>
      <c r="G17" t="s">
        <v>29</v>
      </c>
      <c r="H17">
        <f>IF(Table1[[#This Row],[Sentiment]]="Positive",1,IF(Table1[[#This Row],[Sentiment]]="Negative",-1,0))</f>
        <v>-1</v>
      </c>
      <c r="I17" t="s">
        <v>26</v>
      </c>
      <c r="J17">
        <v>166</v>
      </c>
      <c r="K17">
        <v>196</v>
      </c>
      <c r="L17">
        <v>99</v>
      </c>
    </row>
    <row r="18" spans="1:12" x14ac:dyDescent="0.25">
      <c r="A18">
        <v>13</v>
      </c>
      <c r="B18" t="s">
        <v>13</v>
      </c>
      <c r="C18" t="s">
        <v>14</v>
      </c>
      <c r="D18" t="str">
        <f>TEXT(Table1[[#This Row],[Date]],"mmm")</f>
        <v>Jan</v>
      </c>
      <c r="E18" s="1">
        <v>45670</v>
      </c>
      <c r="F18" t="s">
        <v>43</v>
      </c>
      <c r="G18" t="s">
        <v>22</v>
      </c>
      <c r="H18">
        <f>IF(Table1[[#This Row],[Sentiment]]="Positive",1,IF(Table1[[#This Row],[Sentiment]]="Negative",-1,0))</f>
        <v>1</v>
      </c>
      <c r="I18" t="s">
        <v>36</v>
      </c>
      <c r="J18">
        <v>137</v>
      </c>
      <c r="K18">
        <v>16</v>
      </c>
      <c r="L18">
        <v>27</v>
      </c>
    </row>
    <row r="19" spans="1:12" x14ac:dyDescent="0.25">
      <c r="A19">
        <v>14</v>
      </c>
      <c r="B19" t="s">
        <v>44</v>
      </c>
      <c r="C19" t="s">
        <v>20</v>
      </c>
      <c r="D19" t="str">
        <f>TEXT(Table1[[#This Row],[Date]],"mmm")</f>
        <v>Jan</v>
      </c>
      <c r="E19" s="1">
        <v>45671</v>
      </c>
      <c r="F19" t="s">
        <v>37</v>
      </c>
      <c r="G19" t="s">
        <v>17</v>
      </c>
      <c r="H19">
        <f>IF(Table1[[#This Row],[Sentiment]]="Positive",1,IF(Table1[[#This Row],[Sentiment]]="Negative",-1,0))</f>
        <v>0</v>
      </c>
      <c r="I19" t="s">
        <v>36</v>
      </c>
      <c r="J19">
        <v>452</v>
      </c>
      <c r="K19">
        <v>164</v>
      </c>
      <c r="L19">
        <v>58</v>
      </c>
    </row>
    <row r="20" spans="1:12" x14ac:dyDescent="0.25">
      <c r="A20">
        <v>15</v>
      </c>
      <c r="B20" t="s">
        <v>40</v>
      </c>
      <c r="C20" t="s">
        <v>25</v>
      </c>
      <c r="D20" t="str">
        <f>TEXT(Table1[[#This Row],[Date]],"mmm")</f>
        <v>Jan</v>
      </c>
      <c r="E20" s="1">
        <v>45672</v>
      </c>
      <c r="F20" t="s">
        <v>39</v>
      </c>
      <c r="G20" t="s">
        <v>22</v>
      </c>
      <c r="H20">
        <f>IF(Table1[[#This Row],[Sentiment]]="Positive",1,IF(Table1[[#This Row],[Sentiment]]="Negative",-1,0))</f>
        <v>1</v>
      </c>
      <c r="I20" t="s">
        <v>26</v>
      </c>
      <c r="J20">
        <v>287</v>
      </c>
      <c r="K20">
        <v>137</v>
      </c>
      <c r="L20">
        <v>33</v>
      </c>
    </row>
    <row r="21" spans="1:12" x14ac:dyDescent="0.25">
      <c r="A21">
        <v>16</v>
      </c>
      <c r="B21" t="s">
        <v>19</v>
      </c>
      <c r="C21" t="s">
        <v>20</v>
      </c>
      <c r="D21" t="str">
        <f>TEXT(Table1[[#This Row],[Date]],"mmm")</f>
        <v>Jan</v>
      </c>
      <c r="E21" s="1">
        <v>45673</v>
      </c>
      <c r="F21" t="s">
        <v>45</v>
      </c>
      <c r="G21" t="s">
        <v>17</v>
      </c>
      <c r="H21">
        <f>IF(Table1[[#This Row],[Sentiment]]="Positive",1,IF(Table1[[#This Row],[Sentiment]]="Negative",-1,0))</f>
        <v>0</v>
      </c>
      <c r="I21" t="s">
        <v>34</v>
      </c>
      <c r="J21">
        <v>112</v>
      </c>
      <c r="K21">
        <v>35</v>
      </c>
      <c r="L21">
        <v>65</v>
      </c>
    </row>
    <row r="22" spans="1:12" x14ac:dyDescent="0.25">
      <c r="A22">
        <v>17</v>
      </c>
      <c r="B22" t="s">
        <v>13</v>
      </c>
      <c r="C22" t="s">
        <v>33</v>
      </c>
      <c r="D22" t="str">
        <f>TEXT(Table1[[#This Row],[Date]],"mmm")</f>
        <v>Jan</v>
      </c>
      <c r="E22" s="1">
        <v>45674</v>
      </c>
      <c r="F22" t="s">
        <v>35</v>
      </c>
      <c r="G22" t="s">
        <v>29</v>
      </c>
      <c r="H22">
        <f>IF(Table1[[#This Row],[Sentiment]]="Positive",1,IF(Table1[[#This Row],[Sentiment]]="Negative",-1,0))</f>
        <v>-1</v>
      </c>
      <c r="I22" t="s">
        <v>18</v>
      </c>
      <c r="J22">
        <v>321</v>
      </c>
      <c r="K22">
        <v>40</v>
      </c>
      <c r="L22">
        <v>87</v>
      </c>
    </row>
    <row r="23" spans="1:12" x14ac:dyDescent="0.25">
      <c r="A23">
        <v>18</v>
      </c>
      <c r="B23" t="s">
        <v>32</v>
      </c>
      <c r="C23" t="s">
        <v>20</v>
      </c>
      <c r="D23" t="str">
        <f>TEXT(Table1[[#This Row],[Date]],"mmm")</f>
        <v>Jan</v>
      </c>
      <c r="E23" s="1">
        <v>45675</v>
      </c>
      <c r="F23" t="s">
        <v>35</v>
      </c>
      <c r="G23" t="s">
        <v>29</v>
      </c>
      <c r="H23">
        <f>IF(Table1[[#This Row],[Sentiment]]="Positive",1,IF(Table1[[#This Row],[Sentiment]]="Negative",-1,0))</f>
        <v>-1</v>
      </c>
      <c r="I23" t="s">
        <v>41</v>
      </c>
      <c r="J23">
        <v>239</v>
      </c>
      <c r="K23">
        <v>135</v>
      </c>
      <c r="L23">
        <v>32</v>
      </c>
    </row>
    <row r="24" spans="1:12" x14ac:dyDescent="0.25">
      <c r="A24">
        <v>19</v>
      </c>
      <c r="B24" t="s">
        <v>38</v>
      </c>
      <c r="C24" t="s">
        <v>14</v>
      </c>
      <c r="D24" t="str">
        <f>TEXT(Table1[[#This Row],[Date]],"mmm")</f>
        <v>Jan</v>
      </c>
      <c r="E24" s="1">
        <v>45676</v>
      </c>
      <c r="F24" t="s">
        <v>16</v>
      </c>
      <c r="G24" t="s">
        <v>17</v>
      </c>
      <c r="H24">
        <f>IF(Table1[[#This Row],[Sentiment]]="Positive",1,IF(Table1[[#This Row],[Sentiment]]="Negative",-1,0))</f>
        <v>0</v>
      </c>
      <c r="I24" t="s">
        <v>26</v>
      </c>
      <c r="J24">
        <v>174</v>
      </c>
      <c r="K24">
        <v>28</v>
      </c>
      <c r="L24">
        <v>37</v>
      </c>
    </row>
    <row r="25" spans="1:12" x14ac:dyDescent="0.25">
      <c r="A25">
        <v>20</v>
      </c>
      <c r="B25" t="s">
        <v>27</v>
      </c>
      <c r="C25" t="s">
        <v>33</v>
      </c>
      <c r="D25" t="str">
        <f>TEXT(Table1[[#This Row],[Date]],"mmm")</f>
        <v>Jan</v>
      </c>
      <c r="E25" s="1">
        <v>45677</v>
      </c>
      <c r="F25" t="s">
        <v>28</v>
      </c>
      <c r="G25" t="s">
        <v>29</v>
      </c>
      <c r="H25">
        <f>IF(Table1[[#This Row],[Sentiment]]="Positive",1,IF(Table1[[#This Row],[Sentiment]]="Negative",-1,0))</f>
        <v>-1</v>
      </c>
      <c r="I25" t="s">
        <v>26</v>
      </c>
      <c r="J25">
        <v>448</v>
      </c>
      <c r="K25">
        <v>184</v>
      </c>
      <c r="L25">
        <v>33</v>
      </c>
    </row>
    <row r="26" spans="1:12" x14ac:dyDescent="0.25">
      <c r="A26">
        <v>21</v>
      </c>
      <c r="B26" t="s">
        <v>24</v>
      </c>
      <c r="C26" t="s">
        <v>33</v>
      </c>
      <c r="D26" t="str">
        <f>TEXT(Table1[[#This Row],[Date]],"mmm")</f>
        <v>Jan</v>
      </c>
      <c r="E26" s="1">
        <v>45678</v>
      </c>
      <c r="F26" t="s">
        <v>46</v>
      </c>
      <c r="G26" t="s">
        <v>17</v>
      </c>
      <c r="H26">
        <f>IF(Table1[[#This Row],[Sentiment]]="Positive",1,IF(Table1[[#This Row],[Sentiment]]="Negative",-1,0))</f>
        <v>0</v>
      </c>
      <c r="I26" t="s">
        <v>26</v>
      </c>
      <c r="J26">
        <v>152</v>
      </c>
      <c r="K26">
        <v>163</v>
      </c>
      <c r="L26">
        <v>64</v>
      </c>
    </row>
    <row r="27" spans="1:12" x14ac:dyDescent="0.25">
      <c r="A27">
        <v>22</v>
      </c>
      <c r="B27" t="s">
        <v>40</v>
      </c>
      <c r="C27" t="s">
        <v>14</v>
      </c>
      <c r="D27" t="str">
        <f>TEXT(Table1[[#This Row],[Date]],"mmm")</f>
        <v>Jan</v>
      </c>
      <c r="E27" s="1">
        <v>45679</v>
      </c>
      <c r="F27" t="s">
        <v>46</v>
      </c>
      <c r="G27" t="s">
        <v>17</v>
      </c>
      <c r="H27">
        <f>IF(Table1[[#This Row],[Sentiment]]="Positive",1,IF(Table1[[#This Row],[Sentiment]]="Negative",-1,0))</f>
        <v>0</v>
      </c>
      <c r="I27" t="s">
        <v>18</v>
      </c>
      <c r="J27">
        <v>276</v>
      </c>
      <c r="K27">
        <v>199</v>
      </c>
      <c r="L27">
        <v>67</v>
      </c>
    </row>
    <row r="28" spans="1:12" x14ac:dyDescent="0.25">
      <c r="A28">
        <v>23</v>
      </c>
      <c r="B28" t="s">
        <v>27</v>
      </c>
      <c r="C28" t="s">
        <v>33</v>
      </c>
      <c r="D28" t="str">
        <f>TEXT(Table1[[#This Row],[Date]],"mmm")</f>
        <v>Jan</v>
      </c>
      <c r="E28" s="1">
        <v>45680</v>
      </c>
      <c r="F28" t="s">
        <v>39</v>
      </c>
      <c r="G28" t="s">
        <v>22</v>
      </c>
      <c r="H28">
        <f>IF(Table1[[#This Row],[Sentiment]]="Positive",1,IF(Table1[[#This Row],[Sentiment]]="Negative",-1,0))</f>
        <v>1</v>
      </c>
      <c r="I28" t="s">
        <v>23</v>
      </c>
      <c r="J28">
        <v>475</v>
      </c>
      <c r="K28">
        <v>92</v>
      </c>
      <c r="L28">
        <v>39</v>
      </c>
    </row>
    <row r="29" spans="1:12" x14ac:dyDescent="0.25">
      <c r="A29">
        <v>24</v>
      </c>
      <c r="B29" t="s">
        <v>44</v>
      </c>
      <c r="C29" t="s">
        <v>33</v>
      </c>
      <c r="D29" t="str">
        <f>TEXT(Table1[[#This Row],[Date]],"mmm")</f>
        <v>Jan</v>
      </c>
      <c r="E29" s="1">
        <v>45681</v>
      </c>
      <c r="F29" t="s">
        <v>21</v>
      </c>
      <c r="G29" t="s">
        <v>22</v>
      </c>
      <c r="H29">
        <f>IF(Table1[[#This Row],[Sentiment]]="Positive",1,IF(Table1[[#This Row],[Sentiment]]="Negative",-1,0))</f>
        <v>1</v>
      </c>
      <c r="I29" t="s">
        <v>23</v>
      </c>
      <c r="J29">
        <v>374</v>
      </c>
      <c r="K29">
        <v>124</v>
      </c>
      <c r="L29">
        <v>8</v>
      </c>
    </row>
    <row r="30" spans="1:12" x14ac:dyDescent="0.25">
      <c r="A30">
        <v>25</v>
      </c>
      <c r="B30" t="s">
        <v>40</v>
      </c>
      <c r="C30" t="s">
        <v>20</v>
      </c>
      <c r="D30" t="str">
        <f>TEXT(Table1[[#This Row],[Date]],"mmm")</f>
        <v>Jan</v>
      </c>
      <c r="E30" s="1">
        <v>45682</v>
      </c>
      <c r="F30" t="s">
        <v>46</v>
      </c>
      <c r="G30" t="s">
        <v>17</v>
      </c>
      <c r="H30">
        <f>IF(Table1[[#This Row],[Sentiment]]="Positive",1,IF(Table1[[#This Row],[Sentiment]]="Negative",-1,0))</f>
        <v>0</v>
      </c>
      <c r="I30" t="s">
        <v>41</v>
      </c>
      <c r="J30">
        <v>84</v>
      </c>
      <c r="K30">
        <v>67</v>
      </c>
      <c r="L30">
        <v>67</v>
      </c>
    </row>
    <row r="31" spans="1:12" x14ac:dyDescent="0.25">
      <c r="A31">
        <v>26</v>
      </c>
      <c r="B31" t="s">
        <v>44</v>
      </c>
      <c r="C31" t="s">
        <v>25</v>
      </c>
      <c r="D31" t="str">
        <f>TEXT(Table1[[#This Row],[Date]],"mmm")</f>
        <v>Jan</v>
      </c>
      <c r="E31" s="1">
        <v>45683</v>
      </c>
      <c r="F31" t="s">
        <v>45</v>
      </c>
      <c r="G31" t="s">
        <v>17</v>
      </c>
      <c r="H31">
        <f>IF(Table1[[#This Row],[Sentiment]]="Positive",1,IF(Table1[[#This Row],[Sentiment]]="Negative",-1,0))</f>
        <v>0</v>
      </c>
      <c r="I31" t="s">
        <v>26</v>
      </c>
      <c r="J31">
        <v>159</v>
      </c>
      <c r="K31">
        <v>102</v>
      </c>
      <c r="L31">
        <v>85</v>
      </c>
    </row>
    <row r="32" spans="1:12" x14ac:dyDescent="0.25">
      <c r="A32">
        <v>27</v>
      </c>
      <c r="B32" t="s">
        <v>27</v>
      </c>
      <c r="C32" t="s">
        <v>20</v>
      </c>
      <c r="D32" t="str">
        <f>TEXT(Table1[[#This Row],[Date]],"mmm")</f>
        <v>Jan</v>
      </c>
      <c r="E32" s="1">
        <v>45684</v>
      </c>
      <c r="F32" t="s">
        <v>37</v>
      </c>
      <c r="G32" t="s">
        <v>17</v>
      </c>
      <c r="H32">
        <f>IF(Table1[[#This Row],[Sentiment]]="Positive",1,IF(Table1[[#This Row],[Sentiment]]="Negative",-1,0))</f>
        <v>0</v>
      </c>
      <c r="I32" t="s">
        <v>23</v>
      </c>
      <c r="J32">
        <v>126</v>
      </c>
      <c r="K32">
        <v>57</v>
      </c>
      <c r="L32">
        <v>8</v>
      </c>
    </row>
    <row r="33" spans="1:12" x14ac:dyDescent="0.25">
      <c r="A33">
        <v>28</v>
      </c>
      <c r="B33" t="s">
        <v>19</v>
      </c>
      <c r="C33" t="s">
        <v>25</v>
      </c>
      <c r="D33" t="str">
        <f>TEXT(Table1[[#This Row],[Date]],"mmm")</f>
        <v>Jan</v>
      </c>
      <c r="E33" s="1">
        <v>45685</v>
      </c>
      <c r="F33" t="s">
        <v>35</v>
      </c>
      <c r="G33" t="s">
        <v>29</v>
      </c>
      <c r="H33">
        <f>IF(Table1[[#This Row],[Sentiment]]="Positive",1,IF(Table1[[#This Row],[Sentiment]]="Negative",-1,0))</f>
        <v>-1</v>
      </c>
      <c r="I33" t="s">
        <v>41</v>
      </c>
      <c r="J33">
        <v>112</v>
      </c>
      <c r="K33">
        <v>1</v>
      </c>
      <c r="L33">
        <v>9</v>
      </c>
    </row>
    <row r="34" spans="1:12" x14ac:dyDescent="0.25">
      <c r="A34">
        <v>29</v>
      </c>
      <c r="B34" t="s">
        <v>44</v>
      </c>
      <c r="C34" t="s">
        <v>33</v>
      </c>
      <c r="D34" t="str">
        <f>TEXT(Table1[[#This Row],[Date]],"mmm")</f>
        <v>Jan</v>
      </c>
      <c r="E34" s="1">
        <v>45686</v>
      </c>
      <c r="F34" t="s">
        <v>16</v>
      </c>
      <c r="G34" t="s">
        <v>17</v>
      </c>
      <c r="H34">
        <f>IF(Table1[[#This Row],[Sentiment]]="Positive",1,IF(Table1[[#This Row],[Sentiment]]="Negative",-1,0))</f>
        <v>0</v>
      </c>
      <c r="I34" t="s">
        <v>23</v>
      </c>
      <c r="J34">
        <v>440</v>
      </c>
      <c r="K34">
        <v>84</v>
      </c>
      <c r="L34">
        <v>9</v>
      </c>
    </row>
    <row r="35" spans="1:12" x14ac:dyDescent="0.25">
      <c r="A35">
        <v>30</v>
      </c>
      <c r="B35" t="s">
        <v>30</v>
      </c>
      <c r="C35" t="s">
        <v>20</v>
      </c>
      <c r="D35" t="str">
        <f>TEXT(Table1[[#This Row],[Date]],"mmm")</f>
        <v>Jan</v>
      </c>
      <c r="E35" s="1">
        <v>45687</v>
      </c>
      <c r="F35" t="s">
        <v>46</v>
      </c>
      <c r="G35" t="s">
        <v>17</v>
      </c>
      <c r="H35">
        <f>IF(Table1[[#This Row],[Sentiment]]="Positive",1,IF(Table1[[#This Row],[Sentiment]]="Negative",-1,0))</f>
        <v>0</v>
      </c>
      <c r="I35" t="s">
        <v>18</v>
      </c>
      <c r="J35">
        <v>276</v>
      </c>
      <c r="K35">
        <v>33</v>
      </c>
      <c r="L35">
        <v>92</v>
      </c>
    </row>
    <row r="36" spans="1:12" x14ac:dyDescent="0.25">
      <c r="A36">
        <v>31</v>
      </c>
      <c r="B36" t="s">
        <v>44</v>
      </c>
      <c r="C36" t="s">
        <v>20</v>
      </c>
      <c r="D36" t="str">
        <f>TEXT(Table1[[#This Row],[Date]],"mmm")</f>
        <v>Jan</v>
      </c>
      <c r="E36" s="1">
        <v>45688</v>
      </c>
      <c r="F36" t="s">
        <v>45</v>
      </c>
      <c r="G36" t="s">
        <v>17</v>
      </c>
      <c r="H36">
        <f>IF(Table1[[#This Row],[Sentiment]]="Positive",1,IF(Table1[[#This Row],[Sentiment]]="Negative",-1,0))</f>
        <v>0</v>
      </c>
      <c r="I36" t="s">
        <v>36</v>
      </c>
      <c r="J36">
        <v>97</v>
      </c>
      <c r="K36">
        <v>24</v>
      </c>
      <c r="L36">
        <v>12</v>
      </c>
    </row>
    <row r="37" spans="1:12" x14ac:dyDescent="0.25">
      <c r="A37">
        <v>32</v>
      </c>
      <c r="B37" t="s">
        <v>47</v>
      </c>
      <c r="C37" t="s">
        <v>20</v>
      </c>
      <c r="D37" t="str">
        <f>TEXT(Table1[[#This Row],[Date]],"mmm")</f>
        <v>Feb</v>
      </c>
      <c r="E37" s="1">
        <v>45689</v>
      </c>
      <c r="F37" t="s">
        <v>45</v>
      </c>
      <c r="G37" t="s">
        <v>17</v>
      </c>
      <c r="H37">
        <f>IF(Table1[[#This Row],[Sentiment]]="Positive",1,IF(Table1[[#This Row],[Sentiment]]="Negative",-1,0))</f>
        <v>0</v>
      </c>
      <c r="I37" t="s">
        <v>36</v>
      </c>
      <c r="J37">
        <v>239</v>
      </c>
      <c r="K37">
        <v>186</v>
      </c>
      <c r="L37">
        <v>6</v>
      </c>
    </row>
    <row r="38" spans="1:12" x14ac:dyDescent="0.25">
      <c r="A38">
        <v>33</v>
      </c>
      <c r="B38" t="s">
        <v>13</v>
      </c>
      <c r="C38" t="s">
        <v>20</v>
      </c>
      <c r="D38" t="str">
        <f>TEXT(Table1[[#This Row],[Date]],"mmm")</f>
        <v>Feb</v>
      </c>
      <c r="E38" s="1">
        <v>45690</v>
      </c>
      <c r="F38" t="s">
        <v>16</v>
      </c>
      <c r="G38" t="s">
        <v>17</v>
      </c>
      <c r="H38">
        <f>IF(Table1[[#This Row],[Sentiment]]="Positive",1,IF(Table1[[#This Row],[Sentiment]]="Negative",-1,0))</f>
        <v>0</v>
      </c>
      <c r="I38" t="s">
        <v>26</v>
      </c>
      <c r="J38">
        <v>173</v>
      </c>
      <c r="K38">
        <v>27</v>
      </c>
      <c r="L38">
        <v>31</v>
      </c>
    </row>
    <row r="39" spans="1:12" x14ac:dyDescent="0.25">
      <c r="A39">
        <v>34</v>
      </c>
      <c r="B39" t="s">
        <v>24</v>
      </c>
      <c r="C39" t="s">
        <v>20</v>
      </c>
      <c r="D39" t="str">
        <f>TEXT(Table1[[#This Row],[Date]],"mmm")</f>
        <v>Feb</v>
      </c>
      <c r="E39" s="1">
        <v>45691</v>
      </c>
      <c r="F39" t="s">
        <v>43</v>
      </c>
      <c r="G39" t="s">
        <v>22</v>
      </c>
      <c r="H39">
        <f>IF(Table1[[#This Row],[Sentiment]]="Positive",1,IF(Table1[[#This Row],[Sentiment]]="Negative",-1,0))</f>
        <v>1</v>
      </c>
      <c r="I39" t="s">
        <v>18</v>
      </c>
      <c r="J39">
        <v>216</v>
      </c>
      <c r="K39">
        <v>46</v>
      </c>
      <c r="L39">
        <v>35</v>
      </c>
    </row>
    <row r="40" spans="1:12" x14ac:dyDescent="0.25">
      <c r="A40">
        <v>35</v>
      </c>
      <c r="B40" t="s">
        <v>38</v>
      </c>
      <c r="C40" t="s">
        <v>20</v>
      </c>
      <c r="D40" t="str">
        <f>TEXT(Table1[[#This Row],[Date]],"mmm")</f>
        <v>Feb</v>
      </c>
      <c r="E40" s="1">
        <v>45692</v>
      </c>
      <c r="F40" t="s">
        <v>28</v>
      </c>
      <c r="G40" t="s">
        <v>29</v>
      </c>
      <c r="H40">
        <f>IF(Table1[[#This Row],[Sentiment]]="Positive",1,IF(Table1[[#This Row],[Sentiment]]="Negative",-1,0))</f>
        <v>-1</v>
      </c>
      <c r="I40" t="s">
        <v>41</v>
      </c>
      <c r="J40">
        <v>50</v>
      </c>
      <c r="K40">
        <v>12</v>
      </c>
      <c r="L40">
        <v>83</v>
      </c>
    </row>
    <row r="41" spans="1:12" x14ac:dyDescent="0.25">
      <c r="A41">
        <v>36</v>
      </c>
      <c r="B41" t="s">
        <v>38</v>
      </c>
      <c r="C41" t="s">
        <v>25</v>
      </c>
      <c r="D41" t="str">
        <f>TEXT(Table1[[#This Row],[Date]],"mmm")</f>
        <v>Feb</v>
      </c>
      <c r="E41" s="1">
        <v>45693</v>
      </c>
      <c r="F41" t="s">
        <v>16</v>
      </c>
      <c r="G41" t="s">
        <v>17</v>
      </c>
      <c r="H41">
        <f>IF(Table1[[#This Row],[Sentiment]]="Positive",1,IF(Table1[[#This Row],[Sentiment]]="Negative",-1,0))</f>
        <v>0</v>
      </c>
      <c r="I41" t="s">
        <v>18</v>
      </c>
      <c r="J41">
        <v>208</v>
      </c>
      <c r="K41">
        <v>124</v>
      </c>
      <c r="L41">
        <v>61</v>
      </c>
    </row>
    <row r="42" spans="1:12" x14ac:dyDescent="0.25">
      <c r="A42">
        <v>37</v>
      </c>
      <c r="B42" t="s">
        <v>13</v>
      </c>
      <c r="C42" t="s">
        <v>25</v>
      </c>
      <c r="D42" t="str">
        <f>TEXT(Table1[[#This Row],[Date]],"mmm")</f>
        <v>Feb</v>
      </c>
      <c r="E42" s="1">
        <v>45694</v>
      </c>
      <c r="F42" t="s">
        <v>49</v>
      </c>
      <c r="G42" t="s">
        <v>22</v>
      </c>
      <c r="H42">
        <f>IF(Table1[[#This Row],[Sentiment]]="Positive",1,IF(Table1[[#This Row],[Sentiment]]="Negative",-1,0))</f>
        <v>1</v>
      </c>
      <c r="I42" t="s">
        <v>36</v>
      </c>
      <c r="J42">
        <v>1</v>
      </c>
      <c r="K42">
        <v>99</v>
      </c>
      <c r="L42">
        <v>33</v>
      </c>
    </row>
    <row r="43" spans="1:12" x14ac:dyDescent="0.25">
      <c r="A43">
        <v>38</v>
      </c>
      <c r="B43" t="s">
        <v>32</v>
      </c>
      <c r="C43" t="s">
        <v>20</v>
      </c>
      <c r="D43" t="str">
        <f>TEXT(Table1[[#This Row],[Date]],"mmm")</f>
        <v>Feb</v>
      </c>
      <c r="E43" s="1">
        <v>45695</v>
      </c>
      <c r="F43" t="s">
        <v>31</v>
      </c>
      <c r="G43" t="s">
        <v>29</v>
      </c>
      <c r="H43">
        <f>IF(Table1[[#This Row],[Sentiment]]="Positive",1,IF(Table1[[#This Row],[Sentiment]]="Negative",-1,0))</f>
        <v>-1</v>
      </c>
      <c r="I43" t="s">
        <v>18</v>
      </c>
      <c r="J43">
        <v>97</v>
      </c>
      <c r="K43">
        <v>75</v>
      </c>
      <c r="L43">
        <v>27</v>
      </c>
    </row>
    <row r="44" spans="1:12" x14ac:dyDescent="0.25">
      <c r="A44">
        <v>39</v>
      </c>
      <c r="B44" t="s">
        <v>47</v>
      </c>
      <c r="C44" t="s">
        <v>33</v>
      </c>
      <c r="D44" t="str">
        <f>TEXT(Table1[[#This Row],[Date]],"mmm")</f>
        <v>Feb</v>
      </c>
      <c r="E44" s="1">
        <v>45696</v>
      </c>
      <c r="F44" t="s">
        <v>21</v>
      </c>
      <c r="G44" t="s">
        <v>22</v>
      </c>
      <c r="H44">
        <f>IF(Table1[[#This Row],[Sentiment]]="Positive",1,IF(Table1[[#This Row],[Sentiment]]="Negative",-1,0))</f>
        <v>1</v>
      </c>
      <c r="I44" t="s">
        <v>23</v>
      </c>
      <c r="J44">
        <v>299</v>
      </c>
      <c r="K44">
        <v>122</v>
      </c>
      <c r="L44">
        <v>64</v>
      </c>
    </row>
    <row r="45" spans="1:12" x14ac:dyDescent="0.25">
      <c r="A45">
        <v>40</v>
      </c>
      <c r="B45" t="s">
        <v>13</v>
      </c>
      <c r="C45" t="s">
        <v>33</v>
      </c>
      <c r="D45" t="str">
        <f>TEXT(Table1[[#This Row],[Date]],"mmm")</f>
        <v>Feb</v>
      </c>
      <c r="E45" s="1">
        <v>45697</v>
      </c>
      <c r="F45" t="s">
        <v>46</v>
      </c>
      <c r="G45" t="s">
        <v>17</v>
      </c>
      <c r="H45">
        <f>IF(Table1[[#This Row],[Sentiment]]="Positive",1,IF(Table1[[#This Row],[Sentiment]]="Negative",-1,0))</f>
        <v>0</v>
      </c>
      <c r="I45" t="s">
        <v>18</v>
      </c>
      <c r="J45">
        <v>35</v>
      </c>
      <c r="K45">
        <v>152</v>
      </c>
      <c r="L45">
        <v>8</v>
      </c>
    </row>
    <row r="46" spans="1:12" x14ac:dyDescent="0.25">
      <c r="A46">
        <v>41</v>
      </c>
      <c r="B46" t="s">
        <v>32</v>
      </c>
      <c r="C46" t="s">
        <v>33</v>
      </c>
      <c r="D46" t="str">
        <f>TEXT(Table1[[#This Row],[Date]],"mmm")</f>
        <v>Feb</v>
      </c>
      <c r="E46" s="1">
        <v>45698</v>
      </c>
      <c r="F46" t="s">
        <v>46</v>
      </c>
      <c r="G46" t="s">
        <v>17</v>
      </c>
      <c r="H46">
        <f>IF(Table1[[#This Row],[Sentiment]]="Positive",1,IF(Table1[[#This Row],[Sentiment]]="Negative",-1,0))</f>
        <v>0</v>
      </c>
      <c r="I46" t="s">
        <v>41</v>
      </c>
      <c r="J46">
        <v>126</v>
      </c>
      <c r="K46">
        <v>148</v>
      </c>
      <c r="L46">
        <v>76</v>
      </c>
    </row>
    <row r="47" spans="1:12" x14ac:dyDescent="0.25">
      <c r="A47">
        <v>42</v>
      </c>
      <c r="B47" t="s">
        <v>32</v>
      </c>
      <c r="C47" t="s">
        <v>14</v>
      </c>
      <c r="D47" t="str">
        <f>TEXT(Table1[[#This Row],[Date]],"mmm")</f>
        <v>Feb</v>
      </c>
      <c r="E47" s="1">
        <v>45699</v>
      </c>
      <c r="F47" t="s">
        <v>21</v>
      </c>
      <c r="G47" t="s">
        <v>22</v>
      </c>
      <c r="H47">
        <f>IF(Table1[[#This Row],[Sentiment]]="Positive",1,IF(Table1[[#This Row],[Sentiment]]="Negative",-1,0))</f>
        <v>1</v>
      </c>
      <c r="I47" t="s">
        <v>34</v>
      </c>
      <c r="J47">
        <v>104</v>
      </c>
      <c r="K47">
        <v>171</v>
      </c>
      <c r="L47">
        <v>91</v>
      </c>
    </row>
    <row r="48" spans="1:12" x14ac:dyDescent="0.25">
      <c r="A48">
        <v>43</v>
      </c>
      <c r="B48" t="s">
        <v>30</v>
      </c>
      <c r="C48" t="s">
        <v>20</v>
      </c>
      <c r="D48" t="str">
        <f>TEXT(Table1[[#This Row],[Date]],"mmm")</f>
        <v>Feb</v>
      </c>
      <c r="E48" s="1">
        <v>45700</v>
      </c>
      <c r="F48" t="s">
        <v>28</v>
      </c>
      <c r="G48" t="s">
        <v>29</v>
      </c>
      <c r="H48">
        <f>IF(Table1[[#This Row],[Sentiment]]="Positive",1,IF(Table1[[#This Row],[Sentiment]]="Negative",-1,0))</f>
        <v>-1</v>
      </c>
      <c r="I48" t="s">
        <v>18</v>
      </c>
      <c r="J48">
        <v>343</v>
      </c>
      <c r="K48">
        <v>165</v>
      </c>
      <c r="L48">
        <v>38</v>
      </c>
    </row>
    <row r="49" spans="1:12" x14ac:dyDescent="0.25">
      <c r="A49">
        <v>44</v>
      </c>
      <c r="B49" t="s">
        <v>38</v>
      </c>
      <c r="C49" t="s">
        <v>33</v>
      </c>
      <c r="D49" t="str">
        <f>TEXT(Table1[[#This Row],[Date]],"mmm")</f>
        <v>Feb</v>
      </c>
      <c r="E49" s="1">
        <v>45701</v>
      </c>
      <c r="F49" t="s">
        <v>31</v>
      </c>
      <c r="G49" t="s">
        <v>29</v>
      </c>
      <c r="H49">
        <f>IF(Table1[[#This Row],[Sentiment]]="Positive",1,IF(Table1[[#This Row],[Sentiment]]="Negative",-1,0))</f>
        <v>-1</v>
      </c>
      <c r="I49" t="s">
        <v>36</v>
      </c>
      <c r="J49">
        <v>318</v>
      </c>
      <c r="K49">
        <v>144</v>
      </c>
      <c r="L49">
        <v>12</v>
      </c>
    </row>
    <row r="50" spans="1:12" x14ac:dyDescent="0.25">
      <c r="A50">
        <v>45</v>
      </c>
      <c r="B50" t="s">
        <v>24</v>
      </c>
      <c r="C50" t="s">
        <v>14</v>
      </c>
      <c r="D50" t="str">
        <f>TEXT(Table1[[#This Row],[Date]],"mmm")</f>
        <v>Feb</v>
      </c>
      <c r="E50" s="1">
        <v>45702</v>
      </c>
      <c r="F50" t="s">
        <v>43</v>
      </c>
      <c r="G50" t="s">
        <v>22</v>
      </c>
      <c r="H50">
        <f>IF(Table1[[#This Row],[Sentiment]]="Positive",1,IF(Table1[[#This Row],[Sentiment]]="Negative",-1,0))</f>
        <v>1</v>
      </c>
      <c r="I50" t="s">
        <v>18</v>
      </c>
      <c r="J50">
        <v>477</v>
      </c>
      <c r="K50">
        <v>89</v>
      </c>
      <c r="L50">
        <v>8</v>
      </c>
    </row>
    <row r="51" spans="1:12" x14ac:dyDescent="0.25">
      <c r="A51">
        <v>46</v>
      </c>
      <c r="B51" t="s">
        <v>30</v>
      </c>
      <c r="C51" t="s">
        <v>25</v>
      </c>
      <c r="D51" t="str">
        <f>TEXT(Table1[[#This Row],[Date]],"mmm")</f>
        <v>Feb</v>
      </c>
      <c r="E51" s="1">
        <v>45703</v>
      </c>
      <c r="F51" t="s">
        <v>39</v>
      </c>
      <c r="G51" t="s">
        <v>22</v>
      </c>
      <c r="H51">
        <f>IF(Table1[[#This Row],[Sentiment]]="Positive",1,IF(Table1[[#This Row],[Sentiment]]="Negative",-1,0))</f>
        <v>1</v>
      </c>
      <c r="I51" t="s">
        <v>36</v>
      </c>
      <c r="J51">
        <v>426</v>
      </c>
      <c r="K51">
        <v>139</v>
      </c>
      <c r="L51">
        <v>90</v>
      </c>
    </row>
    <row r="52" spans="1:12" x14ac:dyDescent="0.25">
      <c r="A52">
        <v>47</v>
      </c>
      <c r="B52" t="s">
        <v>24</v>
      </c>
      <c r="C52" t="s">
        <v>14</v>
      </c>
      <c r="D52" t="str">
        <f>TEXT(Table1[[#This Row],[Date]],"mmm")</f>
        <v>Feb</v>
      </c>
      <c r="E52" s="1">
        <v>45704</v>
      </c>
      <c r="F52" t="s">
        <v>35</v>
      </c>
      <c r="G52" t="s">
        <v>29</v>
      </c>
      <c r="H52">
        <f>IF(Table1[[#This Row],[Sentiment]]="Positive",1,IF(Table1[[#This Row],[Sentiment]]="Negative",-1,0))</f>
        <v>-1</v>
      </c>
      <c r="I52" t="s">
        <v>26</v>
      </c>
      <c r="J52">
        <v>53</v>
      </c>
      <c r="K52">
        <v>34</v>
      </c>
      <c r="L52">
        <v>33</v>
      </c>
    </row>
    <row r="53" spans="1:12" x14ac:dyDescent="0.25">
      <c r="A53">
        <v>48</v>
      </c>
      <c r="B53" t="s">
        <v>24</v>
      </c>
      <c r="C53" t="s">
        <v>25</v>
      </c>
      <c r="D53" t="str">
        <f>TEXT(Table1[[#This Row],[Date]],"mmm")</f>
        <v>Feb</v>
      </c>
      <c r="E53" s="1">
        <v>45705</v>
      </c>
      <c r="F53" t="s">
        <v>21</v>
      </c>
      <c r="G53" t="s">
        <v>22</v>
      </c>
      <c r="H53">
        <f>IF(Table1[[#This Row],[Sentiment]]="Positive",1,IF(Table1[[#This Row],[Sentiment]]="Negative",-1,0))</f>
        <v>1</v>
      </c>
      <c r="I53" t="s">
        <v>34</v>
      </c>
      <c r="J53">
        <v>144</v>
      </c>
      <c r="K53">
        <v>154</v>
      </c>
      <c r="L53">
        <v>26</v>
      </c>
    </row>
    <row r="54" spans="1:12" x14ac:dyDescent="0.25">
      <c r="A54">
        <v>49</v>
      </c>
      <c r="B54" t="s">
        <v>44</v>
      </c>
      <c r="C54" t="s">
        <v>14</v>
      </c>
      <c r="D54" t="str">
        <f>TEXT(Table1[[#This Row],[Date]],"mmm")</f>
        <v>Feb</v>
      </c>
      <c r="E54" s="1">
        <v>45706</v>
      </c>
      <c r="F54" t="s">
        <v>37</v>
      </c>
      <c r="G54" t="s">
        <v>17</v>
      </c>
      <c r="H54">
        <f>IF(Table1[[#This Row],[Sentiment]]="Positive",1,IF(Table1[[#This Row],[Sentiment]]="Negative",-1,0))</f>
        <v>0</v>
      </c>
      <c r="I54" t="s">
        <v>41</v>
      </c>
      <c r="J54">
        <v>250</v>
      </c>
      <c r="K54">
        <v>64</v>
      </c>
      <c r="L54">
        <v>6</v>
      </c>
    </row>
    <row r="55" spans="1:12" x14ac:dyDescent="0.25">
      <c r="A55">
        <v>50</v>
      </c>
      <c r="B55" t="s">
        <v>30</v>
      </c>
      <c r="C55" t="s">
        <v>33</v>
      </c>
      <c r="D55" t="str">
        <f>TEXT(Table1[[#This Row],[Date]],"mmm")</f>
        <v>Feb</v>
      </c>
      <c r="E55" s="1">
        <v>45707</v>
      </c>
      <c r="F55" t="s">
        <v>49</v>
      </c>
      <c r="G55" t="s">
        <v>22</v>
      </c>
      <c r="H55">
        <f>IF(Table1[[#This Row],[Sentiment]]="Positive",1,IF(Table1[[#This Row],[Sentiment]]="Negative",-1,0))</f>
        <v>1</v>
      </c>
      <c r="I55" t="s">
        <v>23</v>
      </c>
      <c r="J55">
        <v>170</v>
      </c>
      <c r="K55">
        <v>197</v>
      </c>
      <c r="L55">
        <v>16</v>
      </c>
    </row>
    <row r="56" spans="1:12" x14ac:dyDescent="0.25">
      <c r="A56">
        <v>51</v>
      </c>
      <c r="B56" t="s">
        <v>40</v>
      </c>
      <c r="C56" t="s">
        <v>20</v>
      </c>
      <c r="D56" t="str">
        <f>TEXT(Table1[[#This Row],[Date]],"mmm")</f>
        <v>Feb</v>
      </c>
      <c r="E56" s="1">
        <v>45708</v>
      </c>
      <c r="F56" t="s">
        <v>37</v>
      </c>
      <c r="G56" t="s">
        <v>17</v>
      </c>
      <c r="H56">
        <f>IF(Table1[[#This Row],[Sentiment]]="Positive",1,IF(Table1[[#This Row],[Sentiment]]="Negative",-1,0))</f>
        <v>0</v>
      </c>
      <c r="I56" t="s">
        <v>41</v>
      </c>
      <c r="J56">
        <v>361</v>
      </c>
      <c r="K56">
        <v>109</v>
      </c>
      <c r="L56">
        <v>71</v>
      </c>
    </row>
    <row r="57" spans="1:12" x14ac:dyDescent="0.25">
      <c r="A57">
        <v>52</v>
      </c>
      <c r="B57" t="s">
        <v>38</v>
      </c>
      <c r="C57" t="s">
        <v>25</v>
      </c>
      <c r="D57" t="str">
        <f>TEXT(Table1[[#This Row],[Date]],"mmm")</f>
        <v>Feb</v>
      </c>
      <c r="E57" s="1">
        <v>45709</v>
      </c>
      <c r="F57" t="s">
        <v>21</v>
      </c>
      <c r="G57" t="s">
        <v>22</v>
      </c>
      <c r="H57">
        <f>IF(Table1[[#This Row],[Sentiment]]="Positive",1,IF(Table1[[#This Row],[Sentiment]]="Negative",-1,0))</f>
        <v>1</v>
      </c>
      <c r="I57" t="s">
        <v>41</v>
      </c>
      <c r="J57">
        <v>18</v>
      </c>
      <c r="K57">
        <v>94</v>
      </c>
      <c r="L57">
        <v>74</v>
      </c>
    </row>
    <row r="58" spans="1:12" x14ac:dyDescent="0.25">
      <c r="A58">
        <v>53</v>
      </c>
      <c r="B58" t="s">
        <v>32</v>
      </c>
      <c r="C58" t="s">
        <v>25</v>
      </c>
      <c r="D58" t="str">
        <f>TEXT(Table1[[#This Row],[Date]],"mmm")</f>
        <v>Feb</v>
      </c>
      <c r="E58" s="1">
        <v>45710</v>
      </c>
      <c r="F58" t="s">
        <v>46</v>
      </c>
      <c r="G58" t="s">
        <v>17</v>
      </c>
      <c r="H58">
        <f>IF(Table1[[#This Row],[Sentiment]]="Positive",1,IF(Table1[[#This Row],[Sentiment]]="Negative",-1,0))</f>
        <v>0</v>
      </c>
      <c r="I58" t="s">
        <v>23</v>
      </c>
      <c r="J58">
        <v>157</v>
      </c>
      <c r="K58">
        <v>93</v>
      </c>
      <c r="L58">
        <v>5</v>
      </c>
    </row>
    <row r="59" spans="1:12" x14ac:dyDescent="0.25">
      <c r="A59">
        <v>54</v>
      </c>
      <c r="B59" t="s">
        <v>44</v>
      </c>
      <c r="C59" t="s">
        <v>33</v>
      </c>
      <c r="D59" t="str">
        <f>TEXT(Table1[[#This Row],[Date]],"mmm")</f>
        <v>Feb</v>
      </c>
      <c r="E59" s="1">
        <v>45711</v>
      </c>
      <c r="F59" t="s">
        <v>28</v>
      </c>
      <c r="G59" t="s">
        <v>29</v>
      </c>
      <c r="H59">
        <f>IF(Table1[[#This Row],[Sentiment]]="Positive",1,IF(Table1[[#This Row],[Sentiment]]="Negative",-1,0))</f>
        <v>-1</v>
      </c>
      <c r="I59" t="s">
        <v>34</v>
      </c>
      <c r="J59">
        <v>399</v>
      </c>
      <c r="K59">
        <v>143</v>
      </c>
      <c r="L59">
        <v>52</v>
      </c>
    </row>
    <row r="60" spans="1:12" x14ac:dyDescent="0.25">
      <c r="A60">
        <v>55</v>
      </c>
      <c r="B60" t="s">
        <v>44</v>
      </c>
      <c r="C60" t="s">
        <v>25</v>
      </c>
      <c r="D60" t="str">
        <f>TEXT(Table1[[#This Row],[Date]],"mmm")</f>
        <v>Feb</v>
      </c>
      <c r="E60" s="1">
        <v>45712</v>
      </c>
      <c r="F60" t="s">
        <v>46</v>
      </c>
      <c r="G60" t="s">
        <v>17</v>
      </c>
      <c r="H60">
        <f>IF(Table1[[#This Row],[Sentiment]]="Positive",1,IF(Table1[[#This Row],[Sentiment]]="Negative",-1,0))</f>
        <v>0</v>
      </c>
      <c r="I60" t="s">
        <v>18</v>
      </c>
      <c r="J60">
        <v>451</v>
      </c>
      <c r="K60">
        <v>105</v>
      </c>
      <c r="L60">
        <v>3</v>
      </c>
    </row>
    <row r="61" spans="1:12" x14ac:dyDescent="0.25">
      <c r="A61">
        <v>56</v>
      </c>
      <c r="B61" t="s">
        <v>32</v>
      </c>
      <c r="C61" t="s">
        <v>25</v>
      </c>
      <c r="D61" t="str">
        <f>TEXT(Table1[[#This Row],[Date]],"mmm")</f>
        <v>Feb</v>
      </c>
      <c r="E61" s="1">
        <v>45713</v>
      </c>
      <c r="F61" t="s">
        <v>39</v>
      </c>
      <c r="G61" t="s">
        <v>22</v>
      </c>
      <c r="H61">
        <f>IF(Table1[[#This Row],[Sentiment]]="Positive",1,IF(Table1[[#This Row],[Sentiment]]="Negative",-1,0))</f>
        <v>1</v>
      </c>
      <c r="I61" t="s">
        <v>34</v>
      </c>
      <c r="J61">
        <v>81</v>
      </c>
      <c r="K61">
        <v>179</v>
      </c>
      <c r="L61">
        <v>13</v>
      </c>
    </row>
    <row r="62" spans="1:12" x14ac:dyDescent="0.25">
      <c r="A62">
        <v>57</v>
      </c>
      <c r="B62" t="s">
        <v>27</v>
      </c>
      <c r="C62" t="s">
        <v>25</v>
      </c>
      <c r="D62" t="str">
        <f>TEXT(Table1[[#This Row],[Date]],"mmm")</f>
        <v>Feb</v>
      </c>
      <c r="E62" s="1">
        <v>45714</v>
      </c>
      <c r="F62" t="s">
        <v>35</v>
      </c>
      <c r="G62" t="s">
        <v>29</v>
      </c>
      <c r="H62">
        <f>IF(Table1[[#This Row],[Sentiment]]="Positive",1,IF(Table1[[#This Row],[Sentiment]]="Negative",-1,0))</f>
        <v>-1</v>
      </c>
      <c r="I62" t="s">
        <v>18</v>
      </c>
      <c r="J62">
        <v>418</v>
      </c>
      <c r="K62">
        <v>117</v>
      </c>
      <c r="L62">
        <v>44</v>
      </c>
    </row>
    <row r="63" spans="1:12" x14ac:dyDescent="0.25">
      <c r="A63">
        <v>58</v>
      </c>
      <c r="B63" t="s">
        <v>44</v>
      </c>
      <c r="C63" t="s">
        <v>33</v>
      </c>
      <c r="D63" t="str">
        <f>TEXT(Table1[[#This Row],[Date]],"mmm")</f>
        <v>Feb</v>
      </c>
      <c r="E63" s="1">
        <v>45715</v>
      </c>
      <c r="F63" t="s">
        <v>28</v>
      </c>
      <c r="G63" t="s">
        <v>29</v>
      </c>
      <c r="H63">
        <f>IF(Table1[[#This Row],[Sentiment]]="Positive",1,IF(Table1[[#This Row],[Sentiment]]="Negative",-1,0))</f>
        <v>-1</v>
      </c>
      <c r="I63" t="s">
        <v>26</v>
      </c>
      <c r="J63">
        <v>98</v>
      </c>
      <c r="K63">
        <v>102</v>
      </c>
      <c r="L63">
        <v>42</v>
      </c>
    </row>
    <row r="64" spans="1:12" x14ac:dyDescent="0.25">
      <c r="A64">
        <v>59</v>
      </c>
      <c r="B64" t="s">
        <v>30</v>
      </c>
      <c r="C64" t="s">
        <v>14</v>
      </c>
      <c r="D64" t="str">
        <f>TEXT(Table1[[#This Row],[Date]],"mmm")</f>
        <v>Feb</v>
      </c>
      <c r="E64" s="1">
        <v>45716</v>
      </c>
      <c r="F64" t="s">
        <v>35</v>
      </c>
      <c r="G64" t="s">
        <v>29</v>
      </c>
      <c r="H64">
        <f>IF(Table1[[#This Row],[Sentiment]]="Positive",1,IF(Table1[[#This Row],[Sentiment]]="Negative",-1,0))</f>
        <v>-1</v>
      </c>
      <c r="I64" t="s">
        <v>26</v>
      </c>
      <c r="J64">
        <v>260</v>
      </c>
      <c r="K64">
        <v>102</v>
      </c>
      <c r="L64">
        <v>86</v>
      </c>
    </row>
    <row r="65" spans="1:12" x14ac:dyDescent="0.25">
      <c r="A65">
        <v>60</v>
      </c>
      <c r="B65" t="s">
        <v>13</v>
      </c>
      <c r="C65" t="s">
        <v>33</v>
      </c>
      <c r="D65" t="str">
        <f>TEXT(Table1[[#This Row],[Date]],"mmm")</f>
        <v>Mar</v>
      </c>
      <c r="E65" s="1">
        <v>45717</v>
      </c>
      <c r="F65" t="s">
        <v>37</v>
      </c>
      <c r="G65" t="s">
        <v>17</v>
      </c>
      <c r="H65">
        <f>IF(Table1[[#This Row],[Sentiment]]="Positive",1,IF(Table1[[#This Row],[Sentiment]]="Negative",-1,0))</f>
        <v>0</v>
      </c>
      <c r="I65" t="s">
        <v>34</v>
      </c>
      <c r="J65">
        <v>91</v>
      </c>
      <c r="K65">
        <v>148</v>
      </c>
      <c r="L65">
        <v>33</v>
      </c>
    </row>
    <row r="66" spans="1:12" x14ac:dyDescent="0.25">
      <c r="A66">
        <v>61</v>
      </c>
      <c r="B66" t="s">
        <v>19</v>
      </c>
      <c r="C66" t="s">
        <v>20</v>
      </c>
      <c r="D66" t="str">
        <f>TEXT(Table1[[#This Row],[Date]],"mmm")</f>
        <v>Mar</v>
      </c>
      <c r="E66" s="1">
        <v>45718</v>
      </c>
      <c r="F66" t="s">
        <v>21</v>
      </c>
      <c r="G66" t="s">
        <v>22</v>
      </c>
      <c r="H66">
        <f>IF(Table1[[#This Row],[Sentiment]]="Positive",1,IF(Table1[[#This Row],[Sentiment]]="Negative",-1,0))</f>
        <v>1</v>
      </c>
      <c r="I66" t="s">
        <v>34</v>
      </c>
      <c r="J66">
        <v>373</v>
      </c>
      <c r="K66">
        <v>80</v>
      </c>
      <c r="L66">
        <v>55</v>
      </c>
    </row>
    <row r="67" spans="1:12" x14ac:dyDescent="0.25">
      <c r="A67">
        <v>62</v>
      </c>
      <c r="B67" t="s">
        <v>32</v>
      </c>
      <c r="C67" t="s">
        <v>25</v>
      </c>
      <c r="D67" t="str">
        <f>TEXT(Table1[[#This Row],[Date]],"mmm")</f>
        <v>Mar</v>
      </c>
      <c r="E67" s="1">
        <v>45719</v>
      </c>
      <c r="F67" t="s">
        <v>16</v>
      </c>
      <c r="G67" t="s">
        <v>17</v>
      </c>
      <c r="H67">
        <f>IF(Table1[[#This Row],[Sentiment]]="Positive",1,IF(Table1[[#This Row],[Sentiment]]="Negative",-1,0))</f>
        <v>0</v>
      </c>
      <c r="I67" t="s">
        <v>34</v>
      </c>
      <c r="J67">
        <v>22</v>
      </c>
      <c r="K67">
        <v>181</v>
      </c>
      <c r="L67">
        <v>55</v>
      </c>
    </row>
    <row r="68" spans="1:12" x14ac:dyDescent="0.25">
      <c r="A68">
        <v>63</v>
      </c>
      <c r="B68" t="s">
        <v>47</v>
      </c>
      <c r="C68" t="s">
        <v>20</v>
      </c>
      <c r="D68" t="str">
        <f>TEXT(Table1[[#This Row],[Date]],"mmm")</f>
        <v>Mar</v>
      </c>
      <c r="E68" s="1">
        <v>45720</v>
      </c>
      <c r="F68" t="s">
        <v>43</v>
      </c>
      <c r="G68" t="s">
        <v>22</v>
      </c>
      <c r="H68">
        <f>IF(Table1[[#This Row],[Sentiment]]="Positive",1,IF(Table1[[#This Row],[Sentiment]]="Negative",-1,0))</f>
        <v>1</v>
      </c>
      <c r="I68" t="s">
        <v>23</v>
      </c>
      <c r="J68">
        <v>485</v>
      </c>
      <c r="K68">
        <v>170</v>
      </c>
      <c r="L68">
        <v>42</v>
      </c>
    </row>
    <row r="69" spans="1:12" x14ac:dyDescent="0.25">
      <c r="A69">
        <v>64</v>
      </c>
      <c r="B69" t="s">
        <v>38</v>
      </c>
      <c r="C69" t="s">
        <v>14</v>
      </c>
      <c r="D69" t="str">
        <f>TEXT(Table1[[#This Row],[Date]],"mmm")</f>
        <v>Mar</v>
      </c>
      <c r="E69" s="1">
        <v>45721</v>
      </c>
      <c r="F69" t="s">
        <v>37</v>
      </c>
      <c r="G69" t="s">
        <v>17</v>
      </c>
      <c r="H69">
        <f>IF(Table1[[#This Row],[Sentiment]]="Positive",1,IF(Table1[[#This Row],[Sentiment]]="Negative",-1,0))</f>
        <v>0</v>
      </c>
      <c r="I69" t="s">
        <v>41</v>
      </c>
      <c r="J69">
        <v>158</v>
      </c>
      <c r="K69">
        <v>170</v>
      </c>
      <c r="L69">
        <v>52</v>
      </c>
    </row>
    <row r="70" spans="1:12" x14ac:dyDescent="0.25">
      <c r="A70">
        <v>65</v>
      </c>
      <c r="B70" t="s">
        <v>30</v>
      </c>
      <c r="C70" t="s">
        <v>25</v>
      </c>
      <c r="D70" t="str">
        <f>TEXT(Table1[[#This Row],[Date]],"mmm")</f>
        <v>Mar</v>
      </c>
      <c r="E70" s="1">
        <v>45722</v>
      </c>
      <c r="F70" t="s">
        <v>42</v>
      </c>
      <c r="G70" t="s">
        <v>29</v>
      </c>
      <c r="H70">
        <f>IF(Table1[[#This Row],[Sentiment]]="Positive",1,IF(Table1[[#This Row],[Sentiment]]="Negative",-1,0))</f>
        <v>-1</v>
      </c>
      <c r="I70" t="s">
        <v>18</v>
      </c>
      <c r="J70">
        <v>215</v>
      </c>
      <c r="K70">
        <v>170</v>
      </c>
      <c r="L70">
        <v>48</v>
      </c>
    </row>
    <row r="71" spans="1:12" x14ac:dyDescent="0.25">
      <c r="A71">
        <v>66</v>
      </c>
      <c r="B71" t="s">
        <v>19</v>
      </c>
      <c r="C71" t="s">
        <v>14</v>
      </c>
      <c r="D71" t="str">
        <f>TEXT(Table1[[#This Row],[Date]],"mmm")</f>
        <v>Mar</v>
      </c>
      <c r="E71" s="1">
        <v>45723</v>
      </c>
      <c r="F71" t="s">
        <v>46</v>
      </c>
      <c r="G71" t="s">
        <v>17</v>
      </c>
      <c r="H71">
        <f>IF(Table1[[#This Row],[Sentiment]]="Positive",1,IF(Table1[[#This Row],[Sentiment]]="Negative",-1,0))</f>
        <v>0</v>
      </c>
      <c r="I71" t="s">
        <v>36</v>
      </c>
      <c r="J71">
        <v>280</v>
      </c>
      <c r="K71">
        <v>0</v>
      </c>
      <c r="L71">
        <v>38</v>
      </c>
    </row>
    <row r="72" spans="1:12" x14ac:dyDescent="0.25">
      <c r="A72">
        <v>67</v>
      </c>
      <c r="B72" t="s">
        <v>32</v>
      </c>
      <c r="C72" t="s">
        <v>14</v>
      </c>
      <c r="D72" t="str">
        <f>TEXT(Table1[[#This Row],[Date]],"mmm")</f>
        <v>Mar</v>
      </c>
      <c r="E72" s="1">
        <v>45724</v>
      </c>
      <c r="F72" t="s">
        <v>28</v>
      </c>
      <c r="G72" t="s">
        <v>29</v>
      </c>
      <c r="H72">
        <f>IF(Table1[[#This Row],[Sentiment]]="Positive",1,IF(Table1[[#This Row],[Sentiment]]="Negative",-1,0))</f>
        <v>-1</v>
      </c>
      <c r="I72" t="s">
        <v>36</v>
      </c>
      <c r="J72">
        <v>226</v>
      </c>
      <c r="K72">
        <v>113</v>
      </c>
      <c r="L72">
        <v>86</v>
      </c>
    </row>
    <row r="73" spans="1:12" x14ac:dyDescent="0.25">
      <c r="A73">
        <v>68</v>
      </c>
      <c r="B73" t="s">
        <v>40</v>
      </c>
      <c r="C73" t="s">
        <v>33</v>
      </c>
      <c r="D73" t="str">
        <f>TEXT(Table1[[#This Row],[Date]],"mmm")</f>
        <v>Mar</v>
      </c>
      <c r="E73" s="1">
        <v>45725</v>
      </c>
      <c r="F73" t="s">
        <v>49</v>
      </c>
      <c r="G73" t="s">
        <v>22</v>
      </c>
      <c r="H73">
        <f>IF(Table1[[#This Row],[Sentiment]]="Positive",1,IF(Table1[[#This Row],[Sentiment]]="Negative",-1,0))</f>
        <v>1</v>
      </c>
      <c r="I73" t="s">
        <v>34</v>
      </c>
      <c r="J73">
        <v>263</v>
      </c>
      <c r="K73">
        <v>169</v>
      </c>
      <c r="L73">
        <v>81</v>
      </c>
    </row>
    <row r="74" spans="1:12" x14ac:dyDescent="0.25">
      <c r="A74">
        <v>69</v>
      </c>
      <c r="B74" t="s">
        <v>38</v>
      </c>
      <c r="C74" t="s">
        <v>25</v>
      </c>
      <c r="D74" t="str">
        <f>TEXT(Table1[[#This Row],[Date]],"mmm")</f>
        <v>Mar</v>
      </c>
      <c r="E74" s="1">
        <v>45726</v>
      </c>
      <c r="F74" t="s">
        <v>37</v>
      </c>
      <c r="G74" t="s">
        <v>17</v>
      </c>
      <c r="H74">
        <f>IF(Table1[[#This Row],[Sentiment]]="Positive",1,IF(Table1[[#This Row],[Sentiment]]="Negative",-1,0))</f>
        <v>0</v>
      </c>
      <c r="I74" t="s">
        <v>26</v>
      </c>
      <c r="J74">
        <v>158</v>
      </c>
      <c r="K74">
        <v>57</v>
      </c>
      <c r="L74">
        <v>25</v>
      </c>
    </row>
    <row r="75" spans="1:12" x14ac:dyDescent="0.25">
      <c r="A75">
        <v>70</v>
      </c>
      <c r="B75" t="s">
        <v>13</v>
      </c>
      <c r="C75" t="s">
        <v>25</v>
      </c>
      <c r="D75" t="str">
        <f>TEXT(Table1[[#This Row],[Date]],"mmm")</f>
        <v>Mar</v>
      </c>
      <c r="E75" s="1">
        <v>45727</v>
      </c>
      <c r="F75" t="s">
        <v>21</v>
      </c>
      <c r="G75" t="s">
        <v>22</v>
      </c>
      <c r="H75">
        <f>IF(Table1[[#This Row],[Sentiment]]="Positive",1,IF(Table1[[#This Row],[Sentiment]]="Negative",-1,0))</f>
        <v>1</v>
      </c>
      <c r="I75" t="s">
        <v>36</v>
      </c>
      <c r="J75">
        <v>312</v>
      </c>
      <c r="K75">
        <v>196</v>
      </c>
      <c r="L75">
        <v>9</v>
      </c>
    </row>
    <row r="76" spans="1:12" x14ac:dyDescent="0.25">
      <c r="A76">
        <v>71</v>
      </c>
      <c r="B76" t="s">
        <v>19</v>
      </c>
      <c r="C76" t="s">
        <v>25</v>
      </c>
      <c r="D76" t="str">
        <f>TEXT(Table1[[#This Row],[Date]],"mmm")</f>
        <v>Mar</v>
      </c>
      <c r="E76" s="1">
        <v>45728</v>
      </c>
      <c r="F76" t="s">
        <v>42</v>
      </c>
      <c r="G76" t="s">
        <v>29</v>
      </c>
      <c r="H76">
        <f>IF(Table1[[#This Row],[Sentiment]]="Positive",1,IF(Table1[[#This Row],[Sentiment]]="Negative",-1,0))</f>
        <v>-1</v>
      </c>
      <c r="I76" t="s">
        <v>26</v>
      </c>
      <c r="J76">
        <v>356</v>
      </c>
      <c r="K76">
        <v>98</v>
      </c>
      <c r="L76">
        <v>63</v>
      </c>
    </row>
    <row r="77" spans="1:12" x14ac:dyDescent="0.25">
      <c r="A77">
        <v>72</v>
      </c>
      <c r="B77" t="s">
        <v>40</v>
      </c>
      <c r="C77" t="s">
        <v>33</v>
      </c>
      <c r="D77" t="str">
        <f>TEXT(Table1[[#This Row],[Date]],"mmm")</f>
        <v>Mar</v>
      </c>
      <c r="E77" s="1">
        <v>45729</v>
      </c>
      <c r="F77" t="s">
        <v>28</v>
      </c>
      <c r="G77" t="s">
        <v>29</v>
      </c>
      <c r="H77">
        <f>IF(Table1[[#This Row],[Sentiment]]="Positive",1,IF(Table1[[#This Row],[Sentiment]]="Negative",-1,0))</f>
        <v>-1</v>
      </c>
      <c r="I77" t="s">
        <v>23</v>
      </c>
      <c r="J77">
        <v>398</v>
      </c>
      <c r="K77">
        <v>108</v>
      </c>
      <c r="L77">
        <v>28</v>
      </c>
    </row>
    <row r="78" spans="1:12" x14ac:dyDescent="0.25">
      <c r="A78">
        <v>73</v>
      </c>
      <c r="B78" t="s">
        <v>13</v>
      </c>
      <c r="C78" t="s">
        <v>25</v>
      </c>
      <c r="D78" t="str">
        <f>TEXT(Table1[[#This Row],[Date]],"mmm")</f>
        <v>Mar</v>
      </c>
      <c r="E78" s="1">
        <v>45730</v>
      </c>
      <c r="F78" t="s">
        <v>49</v>
      </c>
      <c r="G78" t="s">
        <v>22</v>
      </c>
      <c r="H78">
        <f>IF(Table1[[#This Row],[Sentiment]]="Positive",1,IF(Table1[[#This Row],[Sentiment]]="Negative",-1,0))</f>
        <v>1</v>
      </c>
      <c r="I78" t="s">
        <v>23</v>
      </c>
      <c r="J78">
        <v>233</v>
      </c>
      <c r="K78">
        <v>34</v>
      </c>
      <c r="L78">
        <v>59</v>
      </c>
    </row>
    <row r="79" spans="1:12" x14ac:dyDescent="0.25">
      <c r="A79">
        <v>74</v>
      </c>
      <c r="B79" t="s">
        <v>27</v>
      </c>
      <c r="C79" t="s">
        <v>20</v>
      </c>
      <c r="D79" t="str">
        <f>TEXT(Table1[[#This Row],[Date]],"mmm")</f>
        <v>Mar</v>
      </c>
      <c r="E79" s="1">
        <v>45731</v>
      </c>
      <c r="F79" t="s">
        <v>37</v>
      </c>
      <c r="G79" t="s">
        <v>17</v>
      </c>
      <c r="H79">
        <f>IF(Table1[[#This Row],[Sentiment]]="Positive",1,IF(Table1[[#This Row],[Sentiment]]="Negative",-1,0))</f>
        <v>0</v>
      </c>
      <c r="I79" t="s">
        <v>41</v>
      </c>
      <c r="J79">
        <v>228</v>
      </c>
      <c r="K79">
        <v>40</v>
      </c>
      <c r="L79">
        <v>95</v>
      </c>
    </row>
    <row r="80" spans="1:12" x14ac:dyDescent="0.25">
      <c r="A80">
        <v>75</v>
      </c>
      <c r="B80" t="s">
        <v>30</v>
      </c>
      <c r="C80" t="s">
        <v>25</v>
      </c>
      <c r="D80" t="str">
        <f>TEXT(Table1[[#This Row],[Date]],"mmm")</f>
        <v>Mar</v>
      </c>
      <c r="E80" s="1">
        <v>45732</v>
      </c>
      <c r="F80" t="s">
        <v>42</v>
      </c>
      <c r="G80" t="s">
        <v>29</v>
      </c>
      <c r="H80">
        <f>IF(Table1[[#This Row],[Sentiment]]="Positive",1,IF(Table1[[#This Row],[Sentiment]]="Negative",-1,0))</f>
        <v>-1</v>
      </c>
      <c r="I80" t="s">
        <v>26</v>
      </c>
      <c r="J80">
        <v>141</v>
      </c>
      <c r="K80">
        <v>196</v>
      </c>
      <c r="L80">
        <v>99</v>
      </c>
    </row>
    <row r="81" spans="1:12" x14ac:dyDescent="0.25">
      <c r="A81">
        <v>76</v>
      </c>
      <c r="B81" t="s">
        <v>44</v>
      </c>
      <c r="C81" t="s">
        <v>14</v>
      </c>
      <c r="D81" t="str">
        <f>TEXT(Table1[[#This Row],[Date]],"mmm")</f>
        <v>Mar</v>
      </c>
      <c r="E81" s="1">
        <v>45733</v>
      </c>
      <c r="F81" t="s">
        <v>45</v>
      </c>
      <c r="G81" t="s">
        <v>17</v>
      </c>
      <c r="H81">
        <f>IF(Table1[[#This Row],[Sentiment]]="Positive",1,IF(Table1[[#This Row],[Sentiment]]="Negative",-1,0))</f>
        <v>0</v>
      </c>
      <c r="I81" t="s">
        <v>36</v>
      </c>
      <c r="J81">
        <v>39</v>
      </c>
      <c r="K81">
        <v>182</v>
      </c>
      <c r="L81">
        <v>36</v>
      </c>
    </row>
    <row r="82" spans="1:12" x14ac:dyDescent="0.25">
      <c r="A82">
        <v>77</v>
      </c>
      <c r="B82" t="s">
        <v>47</v>
      </c>
      <c r="C82" t="s">
        <v>14</v>
      </c>
      <c r="D82" t="str">
        <f>TEXT(Table1[[#This Row],[Date]],"mmm")</f>
        <v>Mar</v>
      </c>
      <c r="E82" s="1">
        <v>45734</v>
      </c>
      <c r="F82" t="s">
        <v>39</v>
      </c>
      <c r="G82" t="s">
        <v>22</v>
      </c>
      <c r="H82">
        <f>IF(Table1[[#This Row],[Sentiment]]="Positive",1,IF(Table1[[#This Row],[Sentiment]]="Negative",-1,0))</f>
        <v>1</v>
      </c>
      <c r="I82" t="s">
        <v>41</v>
      </c>
      <c r="J82">
        <v>41</v>
      </c>
      <c r="K82">
        <v>35</v>
      </c>
      <c r="L82">
        <v>19</v>
      </c>
    </row>
    <row r="83" spans="1:12" x14ac:dyDescent="0.25">
      <c r="A83">
        <v>78</v>
      </c>
      <c r="B83" t="s">
        <v>40</v>
      </c>
      <c r="C83" t="s">
        <v>25</v>
      </c>
      <c r="D83" t="str">
        <f>TEXT(Table1[[#This Row],[Date]],"mmm")</f>
        <v>Mar</v>
      </c>
      <c r="E83" s="1">
        <v>45735</v>
      </c>
      <c r="F83" t="s">
        <v>49</v>
      </c>
      <c r="G83" t="s">
        <v>22</v>
      </c>
      <c r="H83">
        <f>IF(Table1[[#This Row],[Sentiment]]="Positive",1,IF(Table1[[#This Row],[Sentiment]]="Negative",-1,0))</f>
        <v>1</v>
      </c>
      <c r="I83" t="s">
        <v>23</v>
      </c>
      <c r="J83">
        <v>212</v>
      </c>
      <c r="K83">
        <v>104</v>
      </c>
      <c r="L83">
        <v>42</v>
      </c>
    </row>
    <row r="84" spans="1:12" x14ac:dyDescent="0.25">
      <c r="A84">
        <v>79</v>
      </c>
      <c r="B84" t="s">
        <v>32</v>
      </c>
      <c r="C84" t="s">
        <v>33</v>
      </c>
      <c r="D84" t="str">
        <f>TEXT(Table1[[#This Row],[Date]],"mmm")</f>
        <v>Mar</v>
      </c>
      <c r="E84" s="1">
        <v>45736</v>
      </c>
      <c r="F84" t="s">
        <v>45</v>
      </c>
      <c r="G84" t="s">
        <v>17</v>
      </c>
      <c r="H84">
        <f>IF(Table1[[#This Row],[Sentiment]]="Positive",1,IF(Table1[[#This Row],[Sentiment]]="Negative",-1,0))</f>
        <v>0</v>
      </c>
      <c r="I84" t="s">
        <v>18</v>
      </c>
      <c r="J84">
        <v>426</v>
      </c>
      <c r="K84">
        <v>107</v>
      </c>
      <c r="L84">
        <v>49</v>
      </c>
    </row>
    <row r="85" spans="1:12" x14ac:dyDescent="0.25">
      <c r="A85">
        <v>80</v>
      </c>
      <c r="B85" t="s">
        <v>19</v>
      </c>
      <c r="C85" t="s">
        <v>20</v>
      </c>
      <c r="D85" t="str">
        <f>TEXT(Table1[[#This Row],[Date]],"mmm")</f>
        <v>Mar</v>
      </c>
      <c r="E85" s="1">
        <v>45737</v>
      </c>
      <c r="F85" t="s">
        <v>16</v>
      </c>
      <c r="G85" t="s">
        <v>17</v>
      </c>
      <c r="H85">
        <f>IF(Table1[[#This Row],[Sentiment]]="Positive",1,IF(Table1[[#This Row],[Sentiment]]="Negative",-1,0))</f>
        <v>0</v>
      </c>
      <c r="I85" t="s">
        <v>36</v>
      </c>
      <c r="J85">
        <v>3</v>
      </c>
      <c r="K85">
        <v>90</v>
      </c>
      <c r="L85">
        <v>38</v>
      </c>
    </row>
    <row r="86" spans="1:12" x14ac:dyDescent="0.25">
      <c r="A86">
        <v>81</v>
      </c>
      <c r="B86" t="s">
        <v>24</v>
      </c>
      <c r="C86" t="s">
        <v>25</v>
      </c>
      <c r="D86" t="str">
        <f>TEXT(Table1[[#This Row],[Date]],"mmm")</f>
        <v>Mar</v>
      </c>
      <c r="E86" s="1">
        <v>45738</v>
      </c>
      <c r="F86" t="s">
        <v>42</v>
      </c>
      <c r="G86" t="s">
        <v>29</v>
      </c>
      <c r="H86">
        <f>IF(Table1[[#This Row],[Sentiment]]="Positive",1,IF(Table1[[#This Row],[Sentiment]]="Negative",-1,0))</f>
        <v>-1</v>
      </c>
      <c r="I86" t="s">
        <v>36</v>
      </c>
      <c r="J86">
        <v>112</v>
      </c>
      <c r="K86">
        <v>69</v>
      </c>
      <c r="L86">
        <v>55</v>
      </c>
    </row>
    <row r="87" spans="1:12" x14ac:dyDescent="0.25">
      <c r="A87">
        <v>82</v>
      </c>
      <c r="B87" t="s">
        <v>32</v>
      </c>
      <c r="C87" t="s">
        <v>14</v>
      </c>
      <c r="D87" t="str">
        <f>TEXT(Table1[[#This Row],[Date]],"mmm")</f>
        <v>Mar</v>
      </c>
      <c r="E87" s="1">
        <v>45739</v>
      </c>
      <c r="F87" t="s">
        <v>35</v>
      </c>
      <c r="G87" t="s">
        <v>29</v>
      </c>
      <c r="H87">
        <f>IF(Table1[[#This Row],[Sentiment]]="Positive",1,IF(Table1[[#This Row],[Sentiment]]="Negative",-1,0))</f>
        <v>-1</v>
      </c>
      <c r="I87" t="s">
        <v>26</v>
      </c>
      <c r="J87">
        <v>347</v>
      </c>
      <c r="K87">
        <v>103</v>
      </c>
      <c r="L87">
        <v>92</v>
      </c>
    </row>
    <row r="88" spans="1:12" x14ac:dyDescent="0.25">
      <c r="A88">
        <v>83</v>
      </c>
      <c r="B88" t="s">
        <v>40</v>
      </c>
      <c r="C88" t="s">
        <v>33</v>
      </c>
      <c r="D88" t="str">
        <f>TEXT(Table1[[#This Row],[Date]],"mmm")</f>
        <v>Mar</v>
      </c>
      <c r="E88" s="1">
        <v>45740</v>
      </c>
      <c r="F88" t="s">
        <v>49</v>
      </c>
      <c r="G88" t="s">
        <v>22</v>
      </c>
      <c r="H88">
        <f>IF(Table1[[#This Row],[Sentiment]]="Positive",1,IF(Table1[[#This Row],[Sentiment]]="Negative",-1,0))</f>
        <v>1</v>
      </c>
      <c r="I88" t="s">
        <v>36</v>
      </c>
      <c r="J88">
        <v>303</v>
      </c>
      <c r="K88">
        <v>144</v>
      </c>
      <c r="L88">
        <v>84</v>
      </c>
    </row>
    <row r="89" spans="1:12" x14ac:dyDescent="0.25">
      <c r="A89">
        <v>84</v>
      </c>
      <c r="B89" t="s">
        <v>32</v>
      </c>
      <c r="C89" t="s">
        <v>25</v>
      </c>
      <c r="D89" t="str">
        <f>TEXT(Table1[[#This Row],[Date]],"mmm")</f>
        <v>Mar</v>
      </c>
      <c r="E89" s="1">
        <v>45741</v>
      </c>
      <c r="F89" t="s">
        <v>21</v>
      </c>
      <c r="G89" t="s">
        <v>22</v>
      </c>
      <c r="H89">
        <f>IF(Table1[[#This Row],[Sentiment]]="Positive",1,IF(Table1[[#This Row],[Sentiment]]="Negative",-1,0))</f>
        <v>1</v>
      </c>
      <c r="I89" t="s">
        <v>36</v>
      </c>
      <c r="J89">
        <v>93</v>
      </c>
      <c r="K89">
        <v>12</v>
      </c>
      <c r="L89">
        <v>33</v>
      </c>
    </row>
    <row r="90" spans="1:12" x14ac:dyDescent="0.25">
      <c r="A90">
        <v>85</v>
      </c>
      <c r="B90" t="s">
        <v>44</v>
      </c>
      <c r="C90" t="s">
        <v>20</v>
      </c>
      <c r="D90" t="str">
        <f>TEXT(Table1[[#This Row],[Date]],"mmm")</f>
        <v>Mar</v>
      </c>
      <c r="E90" s="1">
        <v>45742</v>
      </c>
      <c r="F90" t="s">
        <v>31</v>
      </c>
      <c r="G90" t="s">
        <v>29</v>
      </c>
      <c r="H90">
        <f>IF(Table1[[#This Row],[Sentiment]]="Positive",1,IF(Table1[[#This Row],[Sentiment]]="Negative",-1,0))</f>
        <v>-1</v>
      </c>
      <c r="I90" t="s">
        <v>34</v>
      </c>
      <c r="J90">
        <v>172</v>
      </c>
      <c r="K90">
        <v>194</v>
      </c>
      <c r="L90">
        <v>48</v>
      </c>
    </row>
    <row r="91" spans="1:12" x14ac:dyDescent="0.25">
      <c r="A91">
        <v>86</v>
      </c>
      <c r="B91" t="s">
        <v>30</v>
      </c>
      <c r="C91" t="s">
        <v>33</v>
      </c>
      <c r="D91" t="str">
        <f>TEXT(Table1[[#This Row],[Date]],"mmm")</f>
        <v>Mar</v>
      </c>
      <c r="E91" s="1">
        <v>45743</v>
      </c>
      <c r="F91" t="s">
        <v>42</v>
      </c>
      <c r="G91" t="s">
        <v>29</v>
      </c>
      <c r="H91">
        <f>IF(Table1[[#This Row],[Sentiment]]="Positive",1,IF(Table1[[#This Row],[Sentiment]]="Negative",-1,0))</f>
        <v>-1</v>
      </c>
      <c r="I91" t="s">
        <v>36</v>
      </c>
      <c r="J91">
        <v>9</v>
      </c>
      <c r="K91">
        <v>191</v>
      </c>
      <c r="L91">
        <v>69</v>
      </c>
    </row>
    <row r="92" spans="1:12" x14ac:dyDescent="0.25">
      <c r="A92">
        <v>87</v>
      </c>
      <c r="B92" t="s">
        <v>44</v>
      </c>
      <c r="C92" t="s">
        <v>33</v>
      </c>
      <c r="D92" t="str">
        <f>TEXT(Table1[[#This Row],[Date]],"mmm")</f>
        <v>Mar</v>
      </c>
      <c r="E92" s="1">
        <v>45744</v>
      </c>
      <c r="F92" t="s">
        <v>39</v>
      </c>
      <c r="G92" t="s">
        <v>22</v>
      </c>
      <c r="H92">
        <f>IF(Table1[[#This Row],[Sentiment]]="Positive",1,IF(Table1[[#This Row],[Sentiment]]="Negative",-1,0))</f>
        <v>1</v>
      </c>
      <c r="I92" t="s">
        <v>26</v>
      </c>
      <c r="J92">
        <v>20</v>
      </c>
      <c r="K92">
        <v>193</v>
      </c>
      <c r="L92">
        <v>3</v>
      </c>
    </row>
    <row r="93" spans="1:12" x14ac:dyDescent="0.25">
      <c r="A93">
        <v>88</v>
      </c>
      <c r="B93" t="s">
        <v>13</v>
      </c>
      <c r="C93" t="s">
        <v>25</v>
      </c>
      <c r="D93" t="str">
        <f>TEXT(Table1[[#This Row],[Date]],"mmm")</f>
        <v>Mar</v>
      </c>
      <c r="E93" s="1">
        <v>45745</v>
      </c>
      <c r="F93" t="s">
        <v>43</v>
      </c>
      <c r="G93" t="s">
        <v>22</v>
      </c>
      <c r="H93">
        <f>IF(Table1[[#This Row],[Sentiment]]="Positive",1,IF(Table1[[#This Row],[Sentiment]]="Negative",-1,0))</f>
        <v>1</v>
      </c>
      <c r="I93" t="s">
        <v>18</v>
      </c>
      <c r="J93">
        <v>64</v>
      </c>
      <c r="K93">
        <v>121</v>
      </c>
      <c r="L93">
        <v>85</v>
      </c>
    </row>
    <row r="94" spans="1:12" x14ac:dyDescent="0.25">
      <c r="A94">
        <v>89</v>
      </c>
      <c r="B94" t="s">
        <v>27</v>
      </c>
      <c r="C94" t="s">
        <v>14</v>
      </c>
      <c r="D94" t="str">
        <f>TEXT(Table1[[#This Row],[Date]],"mmm")</f>
        <v>Mar</v>
      </c>
      <c r="E94" s="1">
        <v>45746</v>
      </c>
      <c r="F94" t="s">
        <v>43</v>
      </c>
      <c r="G94" t="s">
        <v>22</v>
      </c>
      <c r="H94">
        <f>IF(Table1[[#This Row],[Sentiment]]="Positive",1,IF(Table1[[#This Row],[Sentiment]]="Negative",-1,0))</f>
        <v>1</v>
      </c>
      <c r="I94" t="s">
        <v>34</v>
      </c>
      <c r="J94">
        <v>85</v>
      </c>
      <c r="K94">
        <v>155</v>
      </c>
      <c r="L94">
        <v>77</v>
      </c>
    </row>
    <row r="95" spans="1:12" x14ac:dyDescent="0.25">
      <c r="A95">
        <v>90</v>
      </c>
      <c r="B95" t="s">
        <v>40</v>
      </c>
      <c r="C95" t="s">
        <v>14</v>
      </c>
      <c r="D95" t="str">
        <f>TEXT(Table1[[#This Row],[Date]],"mmm")</f>
        <v>Mar</v>
      </c>
      <c r="E95" s="1">
        <v>45747</v>
      </c>
      <c r="F95" t="s">
        <v>16</v>
      </c>
      <c r="G95" t="s">
        <v>17</v>
      </c>
      <c r="H95">
        <f>IF(Table1[[#This Row],[Sentiment]]="Positive",1,IF(Table1[[#This Row],[Sentiment]]="Negative",-1,0))</f>
        <v>0</v>
      </c>
      <c r="I95" t="s">
        <v>23</v>
      </c>
      <c r="J95">
        <v>296</v>
      </c>
      <c r="K95">
        <v>6</v>
      </c>
      <c r="L95">
        <v>39</v>
      </c>
    </row>
    <row r="96" spans="1:12" x14ac:dyDescent="0.25">
      <c r="A96">
        <v>91</v>
      </c>
      <c r="B96" t="s">
        <v>32</v>
      </c>
      <c r="C96" t="s">
        <v>25</v>
      </c>
      <c r="D96" t="str">
        <f>TEXT(Table1[[#This Row],[Date]],"mmm")</f>
        <v>Apr</v>
      </c>
      <c r="E96" s="1">
        <v>45748</v>
      </c>
      <c r="F96" t="s">
        <v>45</v>
      </c>
      <c r="G96" t="s">
        <v>17</v>
      </c>
      <c r="H96">
        <f>IF(Table1[[#This Row],[Sentiment]]="Positive",1,IF(Table1[[#This Row],[Sentiment]]="Negative",-1,0))</f>
        <v>0</v>
      </c>
      <c r="I96" t="s">
        <v>23</v>
      </c>
      <c r="J96">
        <v>303</v>
      </c>
      <c r="K96">
        <v>176</v>
      </c>
      <c r="L96">
        <v>80</v>
      </c>
    </row>
    <row r="97" spans="1:12" x14ac:dyDescent="0.25">
      <c r="A97">
        <v>92</v>
      </c>
      <c r="B97" t="s">
        <v>30</v>
      </c>
      <c r="C97" t="s">
        <v>33</v>
      </c>
      <c r="D97" t="str">
        <f>TEXT(Table1[[#This Row],[Date]],"mmm")</f>
        <v>Apr</v>
      </c>
      <c r="E97" s="1">
        <v>45749</v>
      </c>
      <c r="F97" t="s">
        <v>21</v>
      </c>
      <c r="G97" t="s">
        <v>22</v>
      </c>
      <c r="H97">
        <f>IF(Table1[[#This Row],[Sentiment]]="Positive",1,IF(Table1[[#This Row],[Sentiment]]="Negative",-1,0))</f>
        <v>1</v>
      </c>
      <c r="I97" t="s">
        <v>41</v>
      </c>
      <c r="J97">
        <v>400</v>
      </c>
      <c r="K97">
        <v>10</v>
      </c>
      <c r="L97">
        <v>44</v>
      </c>
    </row>
    <row r="98" spans="1:12" x14ac:dyDescent="0.25">
      <c r="A98">
        <v>93</v>
      </c>
      <c r="B98" t="s">
        <v>47</v>
      </c>
      <c r="C98" t="s">
        <v>33</v>
      </c>
      <c r="D98" t="str">
        <f>TEXT(Table1[[#This Row],[Date]],"mmm")</f>
        <v>Apr</v>
      </c>
      <c r="E98" s="1">
        <v>45750</v>
      </c>
      <c r="F98" t="s">
        <v>45</v>
      </c>
      <c r="G98" t="s">
        <v>17</v>
      </c>
      <c r="H98">
        <f>IF(Table1[[#This Row],[Sentiment]]="Positive",1,IF(Table1[[#This Row],[Sentiment]]="Negative",-1,0))</f>
        <v>0</v>
      </c>
      <c r="I98" t="s">
        <v>41</v>
      </c>
      <c r="J98">
        <v>331</v>
      </c>
      <c r="K98">
        <v>87</v>
      </c>
      <c r="L98">
        <v>1</v>
      </c>
    </row>
    <row r="99" spans="1:12" x14ac:dyDescent="0.25">
      <c r="A99">
        <v>94</v>
      </c>
      <c r="B99" t="s">
        <v>38</v>
      </c>
      <c r="C99" t="s">
        <v>20</v>
      </c>
      <c r="D99" t="str">
        <f>TEXT(Table1[[#This Row],[Date]],"mmm")</f>
        <v>Apr</v>
      </c>
      <c r="E99" s="1">
        <v>45751</v>
      </c>
      <c r="F99" t="s">
        <v>42</v>
      </c>
      <c r="G99" t="s">
        <v>29</v>
      </c>
      <c r="H99">
        <f>IF(Table1[[#This Row],[Sentiment]]="Positive",1,IF(Table1[[#This Row],[Sentiment]]="Negative",-1,0))</f>
        <v>-1</v>
      </c>
      <c r="I99" t="s">
        <v>34</v>
      </c>
      <c r="J99">
        <v>325</v>
      </c>
      <c r="K99">
        <v>117</v>
      </c>
      <c r="L99">
        <v>90</v>
      </c>
    </row>
    <row r="100" spans="1:12" x14ac:dyDescent="0.25">
      <c r="A100">
        <v>95</v>
      </c>
      <c r="B100" t="s">
        <v>40</v>
      </c>
      <c r="C100" t="s">
        <v>14</v>
      </c>
      <c r="D100" t="str">
        <f>TEXT(Table1[[#This Row],[Date]],"mmm")</f>
        <v>Apr</v>
      </c>
      <c r="E100" s="1">
        <v>45752</v>
      </c>
      <c r="F100" t="s">
        <v>49</v>
      </c>
      <c r="G100" t="s">
        <v>22</v>
      </c>
      <c r="H100">
        <f>IF(Table1[[#This Row],[Sentiment]]="Positive",1,IF(Table1[[#This Row],[Sentiment]]="Negative",-1,0))</f>
        <v>1</v>
      </c>
      <c r="I100" t="s">
        <v>41</v>
      </c>
      <c r="J100">
        <v>413</v>
      </c>
      <c r="K100">
        <v>137</v>
      </c>
      <c r="L100">
        <v>99</v>
      </c>
    </row>
    <row r="101" spans="1:12" x14ac:dyDescent="0.25">
      <c r="A101">
        <v>96</v>
      </c>
      <c r="B101" t="s">
        <v>32</v>
      </c>
      <c r="C101" t="s">
        <v>14</v>
      </c>
      <c r="D101" t="str">
        <f>TEXT(Table1[[#This Row],[Date]],"mmm")</f>
        <v>Apr</v>
      </c>
      <c r="E101" s="1">
        <v>45753</v>
      </c>
      <c r="F101" t="s">
        <v>42</v>
      </c>
      <c r="G101" t="s">
        <v>29</v>
      </c>
      <c r="H101">
        <f>IF(Table1[[#This Row],[Sentiment]]="Positive",1,IF(Table1[[#This Row],[Sentiment]]="Negative",-1,0))</f>
        <v>-1</v>
      </c>
      <c r="I101" t="s">
        <v>34</v>
      </c>
      <c r="J101">
        <v>436</v>
      </c>
      <c r="K101">
        <v>62</v>
      </c>
      <c r="L101">
        <v>11</v>
      </c>
    </row>
    <row r="102" spans="1:12" x14ac:dyDescent="0.25">
      <c r="A102">
        <v>97</v>
      </c>
      <c r="B102" t="s">
        <v>44</v>
      </c>
      <c r="C102" t="s">
        <v>20</v>
      </c>
      <c r="D102" t="str">
        <f>TEXT(Table1[[#This Row],[Date]],"mmm")</f>
        <v>Apr</v>
      </c>
      <c r="E102" s="1">
        <v>45754</v>
      </c>
      <c r="F102" t="s">
        <v>42</v>
      </c>
      <c r="G102" t="s">
        <v>29</v>
      </c>
      <c r="H102">
        <f>IF(Table1[[#This Row],[Sentiment]]="Positive",1,IF(Table1[[#This Row],[Sentiment]]="Negative",-1,0))</f>
        <v>-1</v>
      </c>
      <c r="I102" t="s">
        <v>41</v>
      </c>
      <c r="J102">
        <v>312</v>
      </c>
      <c r="K102">
        <v>171</v>
      </c>
      <c r="L102">
        <v>48</v>
      </c>
    </row>
    <row r="103" spans="1:12" x14ac:dyDescent="0.25">
      <c r="A103">
        <v>98</v>
      </c>
      <c r="B103" t="s">
        <v>27</v>
      </c>
      <c r="C103" t="s">
        <v>14</v>
      </c>
      <c r="D103" t="str">
        <f>TEXT(Table1[[#This Row],[Date]],"mmm")</f>
        <v>Apr</v>
      </c>
      <c r="E103" s="1">
        <v>45755</v>
      </c>
      <c r="F103" t="s">
        <v>35</v>
      </c>
      <c r="G103" t="s">
        <v>29</v>
      </c>
      <c r="H103">
        <f>IF(Table1[[#This Row],[Sentiment]]="Positive",1,IF(Table1[[#This Row],[Sentiment]]="Negative",-1,0))</f>
        <v>-1</v>
      </c>
      <c r="I103" t="s">
        <v>18</v>
      </c>
      <c r="J103">
        <v>249</v>
      </c>
      <c r="K103">
        <v>54</v>
      </c>
      <c r="L103">
        <v>45</v>
      </c>
    </row>
    <row r="104" spans="1:12" x14ac:dyDescent="0.25">
      <c r="A104">
        <v>99</v>
      </c>
      <c r="B104" t="s">
        <v>30</v>
      </c>
      <c r="C104" t="s">
        <v>14</v>
      </c>
      <c r="D104" t="str">
        <f>TEXT(Table1[[#This Row],[Date]],"mmm")</f>
        <v>Apr</v>
      </c>
      <c r="E104" s="1">
        <v>45756</v>
      </c>
      <c r="F104" t="s">
        <v>31</v>
      </c>
      <c r="G104" t="s">
        <v>29</v>
      </c>
      <c r="H104">
        <f>IF(Table1[[#This Row],[Sentiment]]="Positive",1,IF(Table1[[#This Row],[Sentiment]]="Negative",-1,0))</f>
        <v>-1</v>
      </c>
      <c r="I104" t="s">
        <v>41</v>
      </c>
      <c r="J104">
        <v>5</v>
      </c>
      <c r="K104">
        <v>132</v>
      </c>
      <c r="L104">
        <v>24</v>
      </c>
    </row>
    <row r="105" spans="1:12" x14ac:dyDescent="0.25">
      <c r="A105">
        <v>100</v>
      </c>
      <c r="B105" t="s">
        <v>32</v>
      </c>
      <c r="C105" t="s">
        <v>20</v>
      </c>
      <c r="D105" t="str">
        <f>TEXT(Table1[[#This Row],[Date]],"mmm")</f>
        <v>Apr</v>
      </c>
      <c r="E105" s="1">
        <v>45757</v>
      </c>
      <c r="F105" t="s">
        <v>43</v>
      </c>
      <c r="G105" t="s">
        <v>22</v>
      </c>
      <c r="H105">
        <f>IF(Table1[[#This Row],[Sentiment]]="Positive",1,IF(Table1[[#This Row],[Sentiment]]="Negative",-1,0))</f>
        <v>1</v>
      </c>
      <c r="I105" t="s">
        <v>41</v>
      </c>
      <c r="J105">
        <v>388</v>
      </c>
      <c r="K105">
        <v>61</v>
      </c>
      <c r="L105">
        <v>88</v>
      </c>
    </row>
    <row r="106" spans="1:12" x14ac:dyDescent="0.25">
      <c r="A106">
        <v>101</v>
      </c>
      <c r="B106" t="s">
        <v>27</v>
      </c>
      <c r="C106" t="s">
        <v>33</v>
      </c>
      <c r="D106" t="str">
        <f>TEXT(Table1[[#This Row],[Date]],"mmm")</f>
        <v>Apr</v>
      </c>
      <c r="E106" s="1">
        <v>45758</v>
      </c>
      <c r="F106" t="s">
        <v>42</v>
      </c>
      <c r="G106" t="s">
        <v>29</v>
      </c>
      <c r="H106">
        <f>IF(Table1[[#This Row],[Sentiment]]="Positive",1,IF(Table1[[#This Row],[Sentiment]]="Negative",-1,0))</f>
        <v>-1</v>
      </c>
      <c r="I106" t="s">
        <v>23</v>
      </c>
      <c r="J106">
        <v>150</v>
      </c>
      <c r="K106">
        <v>56</v>
      </c>
      <c r="L106">
        <v>51</v>
      </c>
    </row>
    <row r="107" spans="1:12" x14ac:dyDescent="0.25">
      <c r="A107">
        <v>102</v>
      </c>
      <c r="B107" t="s">
        <v>30</v>
      </c>
      <c r="C107" t="s">
        <v>14</v>
      </c>
      <c r="D107" t="str">
        <f>TEXT(Table1[[#This Row],[Date]],"mmm")</f>
        <v>Apr</v>
      </c>
      <c r="E107" s="1">
        <v>45759</v>
      </c>
      <c r="F107" t="s">
        <v>46</v>
      </c>
      <c r="G107" t="s">
        <v>17</v>
      </c>
      <c r="H107">
        <f>IF(Table1[[#This Row],[Sentiment]]="Positive",1,IF(Table1[[#This Row],[Sentiment]]="Negative",-1,0))</f>
        <v>0</v>
      </c>
      <c r="I107" t="s">
        <v>36</v>
      </c>
      <c r="J107">
        <v>283</v>
      </c>
      <c r="K107">
        <v>135</v>
      </c>
      <c r="L107">
        <v>44</v>
      </c>
    </row>
    <row r="108" spans="1:12" x14ac:dyDescent="0.25">
      <c r="A108">
        <v>103</v>
      </c>
      <c r="B108" t="s">
        <v>47</v>
      </c>
      <c r="C108" t="s">
        <v>20</v>
      </c>
      <c r="D108" t="str">
        <f>TEXT(Table1[[#This Row],[Date]],"mmm")</f>
        <v>Apr</v>
      </c>
      <c r="E108" s="1">
        <v>45760</v>
      </c>
      <c r="F108" t="s">
        <v>31</v>
      </c>
      <c r="G108" t="s">
        <v>29</v>
      </c>
      <c r="H108">
        <f>IF(Table1[[#This Row],[Sentiment]]="Positive",1,IF(Table1[[#This Row],[Sentiment]]="Negative",-1,0))</f>
        <v>-1</v>
      </c>
      <c r="I108" t="s">
        <v>34</v>
      </c>
      <c r="J108">
        <v>156</v>
      </c>
      <c r="K108">
        <v>64</v>
      </c>
      <c r="L108">
        <v>29</v>
      </c>
    </row>
    <row r="109" spans="1:12" x14ac:dyDescent="0.25">
      <c r="A109">
        <v>104</v>
      </c>
      <c r="B109" t="s">
        <v>47</v>
      </c>
      <c r="C109" t="s">
        <v>33</v>
      </c>
      <c r="D109" t="str">
        <f>TEXT(Table1[[#This Row],[Date]],"mmm")</f>
        <v>Apr</v>
      </c>
      <c r="E109" s="1">
        <v>45761</v>
      </c>
      <c r="F109" t="s">
        <v>43</v>
      </c>
      <c r="G109" t="s">
        <v>22</v>
      </c>
      <c r="H109">
        <f>IF(Table1[[#This Row],[Sentiment]]="Positive",1,IF(Table1[[#This Row],[Sentiment]]="Negative",-1,0))</f>
        <v>1</v>
      </c>
      <c r="I109" t="s">
        <v>26</v>
      </c>
      <c r="J109">
        <v>274</v>
      </c>
      <c r="K109">
        <v>195</v>
      </c>
      <c r="L109">
        <v>88</v>
      </c>
    </row>
    <row r="110" spans="1:12" x14ac:dyDescent="0.25">
      <c r="A110">
        <v>105</v>
      </c>
      <c r="B110" t="s">
        <v>44</v>
      </c>
      <c r="C110" t="s">
        <v>20</v>
      </c>
      <c r="D110" t="str">
        <f>TEXT(Table1[[#This Row],[Date]],"mmm")</f>
        <v>Apr</v>
      </c>
      <c r="E110" s="1">
        <v>45762</v>
      </c>
      <c r="F110" t="s">
        <v>43</v>
      </c>
      <c r="G110" t="s">
        <v>22</v>
      </c>
      <c r="H110">
        <f>IF(Table1[[#This Row],[Sentiment]]="Positive",1,IF(Table1[[#This Row],[Sentiment]]="Negative",-1,0))</f>
        <v>1</v>
      </c>
      <c r="I110" t="s">
        <v>34</v>
      </c>
      <c r="J110">
        <v>370</v>
      </c>
      <c r="K110">
        <v>150</v>
      </c>
      <c r="L110">
        <v>97</v>
      </c>
    </row>
    <row r="111" spans="1:12" x14ac:dyDescent="0.25">
      <c r="A111">
        <v>106</v>
      </c>
      <c r="B111" t="s">
        <v>38</v>
      </c>
      <c r="C111" t="s">
        <v>25</v>
      </c>
      <c r="D111" t="str">
        <f>TEXT(Table1[[#This Row],[Date]],"mmm")</f>
        <v>Apr</v>
      </c>
      <c r="E111" s="1">
        <v>45763</v>
      </c>
      <c r="F111" t="s">
        <v>37</v>
      </c>
      <c r="G111" t="s">
        <v>17</v>
      </c>
      <c r="H111">
        <f>IF(Table1[[#This Row],[Sentiment]]="Positive",1,IF(Table1[[#This Row],[Sentiment]]="Negative",-1,0))</f>
        <v>0</v>
      </c>
      <c r="I111" t="s">
        <v>34</v>
      </c>
      <c r="J111">
        <v>116</v>
      </c>
      <c r="K111">
        <v>92</v>
      </c>
      <c r="L111">
        <v>22</v>
      </c>
    </row>
    <row r="112" spans="1:12" x14ac:dyDescent="0.25">
      <c r="A112">
        <v>107</v>
      </c>
      <c r="B112" t="s">
        <v>24</v>
      </c>
      <c r="C112" t="s">
        <v>25</v>
      </c>
      <c r="D112" t="str">
        <f>TEXT(Table1[[#This Row],[Date]],"mmm")</f>
        <v>Apr</v>
      </c>
      <c r="E112" s="1">
        <v>45764</v>
      </c>
      <c r="F112" t="s">
        <v>35</v>
      </c>
      <c r="G112" t="s">
        <v>29</v>
      </c>
      <c r="H112">
        <f>IF(Table1[[#This Row],[Sentiment]]="Positive",1,IF(Table1[[#This Row],[Sentiment]]="Negative",-1,0))</f>
        <v>-1</v>
      </c>
      <c r="I112" t="s">
        <v>34</v>
      </c>
      <c r="J112">
        <v>23</v>
      </c>
      <c r="K112">
        <v>13</v>
      </c>
      <c r="L112">
        <v>70</v>
      </c>
    </row>
    <row r="113" spans="1:12" x14ac:dyDescent="0.25">
      <c r="A113">
        <v>108</v>
      </c>
      <c r="B113" t="s">
        <v>27</v>
      </c>
      <c r="C113" t="s">
        <v>33</v>
      </c>
      <c r="D113" t="str">
        <f>TEXT(Table1[[#This Row],[Date]],"mmm")</f>
        <v>Apr</v>
      </c>
      <c r="E113" s="1">
        <v>45765</v>
      </c>
      <c r="F113" t="s">
        <v>28</v>
      </c>
      <c r="G113" t="s">
        <v>29</v>
      </c>
      <c r="H113">
        <f>IF(Table1[[#This Row],[Sentiment]]="Positive",1,IF(Table1[[#This Row],[Sentiment]]="Negative",-1,0))</f>
        <v>-1</v>
      </c>
      <c r="I113" t="s">
        <v>23</v>
      </c>
      <c r="J113">
        <v>293</v>
      </c>
      <c r="K113">
        <v>72</v>
      </c>
      <c r="L113">
        <v>60</v>
      </c>
    </row>
    <row r="114" spans="1:12" x14ac:dyDescent="0.25">
      <c r="A114">
        <v>109</v>
      </c>
      <c r="B114" t="s">
        <v>47</v>
      </c>
      <c r="C114" t="s">
        <v>25</v>
      </c>
      <c r="D114" t="str">
        <f>TEXT(Table1[[#This Row],[Date]],"mmm")</f>
        <v>Apr</v>
      </c>
      <c r="E114" s="1">
        <v>45766</v>
      </c>
      <c r="F114" t="s">
        <v>42</v>
      </c>
      <c r="G114" t="s">
        <v>29</v>
      </c>
      <c r="H114">
        <f>IF(Table1[[#This Row],[Sentiment]]="Positive",1,IF(Table1[[#This Row],[Sentiment]]="Negative",-1,0))</f>
        <v>-1</v>
      </c>
      <c r="I114" t="s">
        <v>23</v>
      </c>
      <c r="J114">
        <v>129</v>
      </c>
      <c r="K114">
        <v>122</v>
      </c>
      <c r="L114">
        <v>14</v>
      </c>
    </row>
    <row r="115" spans="1:12" x14ac:dyDescent="0.25">
      <c r="A115">
        <v>110</v>
      </c>
      <c r="B115" t="s">
        <v>27</v>
      </c>
      <c r="C115" t="s">
        <v>33</v>
      </c>
      <c r="D115" t="str">
        <f>TEXT(Table1[[#This Row],[Date]],"mmm")</f>
        <v>Apr</v>
      </c>
      <c r="E115" s="1">
        <v>45767</v>
      </c>
      <c r="F115" t="s">
        <v>49</v>
      </c>
      <c r="G115" t="s">
        <v>22</v>
      </c>
      <c r="H115">
        <f>IF(Table1[[#This Row],[Sentiment]]="Positive",1,IF(Table1[[#This Row],[Sentiment]]="Negative",-1,0))</f>
        <v>1</v>
      </c>
      <c r="I115" t="s">
        <v>41</v>
      </c>
      <c r="J115">
        <v>322</v>
      </c>
      <c r="K115">
        <v>175</v>
      </c>
      <c r="L115">
        <v>6</v>
      </c>
    </row>
    <row r="116" spans="1:12" x14ac:dyDescent="0.25">
      <c r="A116">
        <v>111</v>
      </c>
      <c r="B116" t="s">
        <v>19</v>
      </c>
      <c r="C116" t="s">
        <v>14</v>
      </c>
      <c r="D116" t="str">
        <f>TEXT(Table1[[#This Row],[Date]],"mmm")</f>
        <v>Apr</v>
      </c>
      <c r="E116" s="1">
        <v>45768</v>
      </c>
      <c r="F116" t="s">
        <v>43</v>
      </c>
      <c r="G116" t="s">
        <v>22</v>
      </c>
      <c r="H116">
        <f>IF(Table1[[#This Row],[Sentiment]]="Positive",1,IF(Table1[[#This Row],[Sentiment]]="Negative",-1,0))</f>
        <v>1</v>
      </c>
      <c r="I116" t="s">
        <v>23</v>
      </c>
      <c r="J116">
        <v>127</v>
      </c>
      <c r="K116">
        <v>30</v>
      </c>
      <c r="L116">
        <v>71</v>
      </c>
    </row>
    <row r="117" spans="1:12" x14ac:dyDescent="0.25">
      <c r="A117">
        <v>112</v>
      </c>
      <c r="B117" t="s">
        <v>24</v>
      </c>
      <c r="C117" t="s">
        <v>20</v>
      </c>
      <c r="D117" t="str">
        <f>TEXT(Table1[[#This Row],[Date]],"mmm")</f>
        <v>Apr</v>
      </c>
      <c r="E117" s="1">
        <v>45769</v>
      </c>
      <c r="F117" t="s">
        <v>28</v>
      </c>
      <c r="G117" t="s">
        <v>29</v>
      </c>
      <c r="H117">
        <f>IF(Table1[[#This Row],[Sentiment]]="Positive",1,IF(Table1[[#This Row],[Sentiment]]="Negative",-1,0))</f>
        <v>-1</v>
      </c>
      <c r="I117" t="s">
        <v>36</v>
      </c>
      <c r="J117">
        <v>465</v>
      </c>
      <c r="K117">
        <v>113</v>
      </c>
      <c r="L117">
        <v>38</v>
      </c>
    </row>
    <row r="118" spans="1:12" x14ac:dyDescent="0.25">
      <c r="A118">
        <v>113</v>
      </c>
      <c r="B118" t="s">
        <v>30</v>
      </c>
      <c r="C118" t="s">
        <v>33</v>
      </c>
      <c r="D118" t="str">
        <f>TEXT(Table1[[#This Row],[Date]],"mmm")</f>
        <v>Apr</v>
      </c>
      <c r="E118" s="1">
        <v>45770</v>
      </c>
      <c r="F118" t="s">
        <v>45</v>
      </c>
      <c r="G118" t="s">
        <v>17</v>
      </c>
      <c r="H118">
        <f>IF(Table1[[#This Row],[Sentiment]]="Positive",1,IF(Table1[[#This Row],[Sentiment]]="Negative",-1,0))</f>
        <v>0</v>
      </c>
      <c r="I118" t="s">
        <v>41</v>
      </c>
      <c r="J118">
        <v>491</v>
      </c>
      <c r="K118">
        <v>189</v>
      </c>
      <c r="L118">
        <v>12</v>
      </c>
    </row>
    <row r="119" spans="1:12" x14ac:dyDescent="0.25">
      <c r="A119">
        <v>114</v>
      </c>
      <c r="B119" t="s">
        <v>30</v>
      </c>
      <c r="C119" t="s">
        <v>33</v>
      </c>
      <c r="D119" t="str">
        <f>TEXT(Table1[[#This Row],[Date]],"mmm")</f>
        <v>Apr</v>
      </c>
      <c r="E119" s="1">
        <v>45771</v>
      </c>
      <c r="F119" t="s">
        <v>43</v>
      </c>
      <c r="G119" t="s">
        <v>22</v>
      </c>
      <c r="H119">
        <f>IF(Table1[[#This Row],[Sentiment]]="Positive",1,IF(Table1[[#This Row],[Sentiment]]="Negative",-1,0))</f>
        <v>1</v>
      </c>
      <c r="I119" t="s">
        <v>18</v>
      </c>
      <c r="J119">
        <v>122</v>
      </c>
      <c r="K119">
        <v>44</v>
      </c>
      <c r="L119">
        <v>70</v>
      </c>
    </row>
    <row r="120" spans="1:12" x14ac:dyDescent="0.25">
      <c r="A120">
        <v>115</v>
      </c>
      <c r="B120" t="s">
        <v>13</v>
      </c>
      <c r="C120" t="s">
        <v>20</v>
      </c>
      <c r="D120" t="str">
        <f>TEXT(Table1[[#This Row],[Date]],"mmm")</f>
        <v>Apr</v>
      </c>
      <c r="E120" s="1">
        <v>45772</v>
      </c>
      <c r="F120" t="s">
        <v>43</v>
      </c>
      <c r="G120" t="s">
        <v>22</v>
      </c>
      <c r="H120">
        <f>IF(Table1[[#This Row],[Sentiment]]="Positive",1,IF(Table1[[#This Row],[Sentiment]]="Negative",-1,0))</f>
        <v>1</v>
      </c>
      <c r="I120" t="s">
        <v>36</v>
      </c>
      <c r="J120">
        <v>352</v>
      </c>
      <c r="K120">
        <v>152</v>
      </c>
      <c r="L120">
        <v>60</v>
      </c>
    </row>
    <row r="121" spans="1:12" x14ac:dyDescent="0.25">
      <c r="A121">
        <v>116</v>
      </c>
      <c r="B121" t="s">
        <v>44</v>
      </c>
      <c r="C121" t="s">
        <v>14</v>
      </c>
      <c r="D121" t="str">
        <f>TEXT(Table1[[#This Row],[Date]],"mmm")</f>
        <v>Apr</v>
      </c>
      <c r="E121" s="1">
        <v>45773</v>
      </c>
      <c r="F121" t="s">
        <v>35</v>
      </c>
      <c r="G121" t="s">
        <v>29</v>
      </c>
      <c r="H121">
        <f>IF(Table1[[#This Row],[Sentiment]]="Positive",1,IF(Table1[[#This Row],[Sentiment]]="Negative",-1,0))</f>
        <v>-1</v>
      </c>
      <c r="I121" t="s">
        <v>26</v>
      </c>
      <c r="J121">
        <v>144</v>
      </c>
      <c r="K121">
        <v>179</v>
      </c>
      <c r="L121">
        <v>58</v>
      </c>
    </row>
    <row r="122" spans="1:12" x14ac:dyDescent="0.25">
      <c r="A122">
        <v>117</v>
      </c>
      <c r="B122" t="s">
        <v>30</v>
      </c>
      <c r="C122" t="s">
        <v>25</v>
      </c>
      <c r="D122" t="str">
        <f>TEXT(Table1[[#This Row],[Date]],"mmm")</f>
        <v>Apr</v>
      </c>
      <c r="E122" s="1">
        <v>45774</v>
      </c>
      <c r="F122" t="s">
        <v>43</v>
      </c>
      <c r="G122" t="s">
        <v>22</v>
      </c>
      <c r="H122">
        <f>IF(Table1[[#This Row],[Sentiment]]="Positive",1,IF(Table1[[#This Row],[Sentiment]]="Negative",-1,0))</f>
        <v>1</v>
      </c>
      <c r="I122" t="s">
        <v>36</v>
      </c>
      <c r="J122">
        <v>58</v>
      </c>
      <c r="K122">
        <v>139</v>
      </c>
      <c r="L122">
        <v>28</v>
      </c>
    </row>
    <row r="123" spans="1:12" x14ac:dyDescent="0.25">
      <c r="A123">
        <v>118</v>
      </c>
      <c r="B123" t="s">
        <v>30</v>
      </c>
      <c r="C123" t="s">
        <v>25</v>
      </c>
      <c r="D123" t="str">
        <f>TEXT(Table1[[#This Row],[Date]],"mmm")</f>
        <v>Apr</v>
      </c>
      <c r="E123" s="1">
        <v>45775</v>
      </c>
      <c r="F123" t="s">
        <v>46</v>
      </c>
      <c r="G123" t="s">
        <v>17</v>
      </c>
      <c r="H123">
        <f>IF(Table1[[#This Row],[Sentiment]]="Positive",1,IF(Table1[[#This Row],[Sentiment]]="Negative",-1,0))</f>
        <v>0</v>
      </c>
      <c r="I123" t="s">
        <v>23</v>
      </c>
      <c r="J123">
        <v>30</v>
      </c>
      <c r="K123">
        <v>42</v>
      </c>
      <c r="L123">
        <v>39</v>
      </c>
    </row>
    <row r="124" spans="1:12" x14ac:dyDescent="0.25">
      <c r="A124">
        <v>119</v>
      </c>
      <c r="B124" t="s">
        <v>27</v>
      </c>
      <c r="C124" t="s">
        <v>33</v>
      </c>
      <c r="D124" t="str">
        <f>TEXT(Table1[[#This Row],[Date]],"mmm")</f>
        <v>Apr</v>
      </c>
      <c r="E124" s="1">
        <v>45776</v>
      </c>
      <c r="F124" t="s">
        <v>37</v>
      </c>
      <c r="G124" t="s">
        <v>17</v>
      </c>
      <c r="H124">
        <f>IF(Table1[[#This Row],[Sentiment]]="Positive",1,IF(Table1[[#This Row],[Sentiment]]="Negative",-1,0))</f>
        <v>0</v>
      </c>
      <c r="I124" t="s">
        <v>36</v>
      </c>
      <c r="J124">
        <v>352</v>
      </c>
      <c r="K124">
        <v>77</v>
      </c>
      <c r="L124">
        <v>89</v>
      </c>
    </row>
    <row r="125" spans="1:12" x14ac:dyDescent="0.25">
      <c r="A125">
        <v>120</v>
      </c>
      <c r="B125" t="s">
        <v>24</v>
      </c>
      <c r="C125" t="s">
        <v>20</v>
      </c>
      <c r="D125" t="str">
        <f>TEXT(Table1[[#This Row],[Date]],"mmm")</f>
        <v>Apr</v>
      </c>
      <c r="E125" s="1">
        <v>45777</v>
      </c>
      <c r="F125" t="s">
        <v>31</v>
      </c>
      <c r="G125" t="s">
        <v>29</v>
      </c>
      <c r="H125">
        <f>IF(Table1[[#This Row],[Sentiment]]="Positive",1,IF(Table1[[#This Row],[Sentiment]]="Negative",-1,0))</f>
        <v>-1</v>
      </c>
      <c r="I125" t="s">
        <v>36</v>
      </c>
      <c r="J125">
        <v>41</v>
      </c>
      <c r="K125">
        <v>153</v>
      </c>
      <c r="L125">
        <v>5</v>
      </c>
    </row>
    <row r="133" spans="1:1" x14ac:dyDescent="0.25">
      <c r="A133" t="s">
        <v>52</v>
      </c>
    </row>
    <row r="134" spans="1:1" x14ac:dyDescent="0.25">
      <c r="A134" t="s">
        <v>53</v>
      </c>
    </row>
    <row r="135" spans="1:1" x14ac:dyDescent="0.25">
      <c r="A135" t="s">
        <v>54</v>
      </c>
    </row>
    <row r="136" spans="1:1" x14ac:dyDescent="0.25">
      <c r="A136" t="s">
        <v>55</v>
      </c>
    </row>
    <row r="137" spans="1:1" x14ac:dyDescent="0.25">
      <c r="A137" t="s">
        <v>56</v>
      </c>
    </row>
    <row r="138" spans="1:1" x14ac:dyDescent="0.25">
      <c r="A138" t="s">
        <v>57</v>
      </c>
    </row>
    <row r="139" spans="1:1" x14ac:dyDescent="0.25">
      <c r="A139" t="s">
        <v>58</v>
      </c>
    </row>
    <row r="140" spans="1:1" x14ac:dyDescent="0.25">
      <c r="A140" t="s">
        <v>59</v>
      </c>
    </row>
    <row r="141" spans="1:1" x14ac:dyDescent="0.25">
      <c r="A141" t="s">
        <v>60</v>
      </c>
    </row>
    <row r="142" spans="1:1" x14ac:dyDescent="0.25">
      <c r="A142" t="s">
        <v>61</v>
      </c>
    </row>
    <row r="143" spans="1:1" x14ac:dyDescent="0.25">
      <c r="A143" t="s">
        <v>62</v>
      </c>
    </row>
    <row r="144" spans="1:1" x14ac:dyDescent="0.25">
      <c r="A144" t="s">
        <v>63</v>
      </c>
    </row>
    <row r="145" spans="1:6" x14ac:dyDescent="0.25">
      <c r="A145" t="s">
        <v>64</v>
      </c>
    </row>
    <row r="146" spans="1:6" x14ac:dyDescent="0.25">
      <c r="A146" t="s">
        <v>71</v>
      </c>
      <c r="F146">
        <f>COUNTA(A5:A125)-1</f>
        <v>120</v>
      </c>
    </row>
    <row r="147" spans="1:6" x14ac:dyDescent="0.25">
      <c r="A147" t="s">
        <v>72</v>
      </c>
      <c r="F147">
        <f>SUM(J5:J125)</f>
        <v>27021</v>
      </c>
    </row>
    <row r="148" spans="1:6" x14ac:dyDescent="0.25">
      <c r="A148" t="s">
        <v>73</v>
      </c>
      <c r="F148">
        <f>SUM(K5:K125)</f>
        <v>12924</v>
      </c>
    </row>
    <row r="149" spans="1:6" ht="28.5" customHeight="1" x14ac:dyDescent="0.25">
      <c r="A149" t="s">
        <v>74</v>
      </c>
      <c r="F149">
        <f>(SUM(J5:J125)+SUM(K5:K125)+SUM(L5:L125))/COUNTA(A5:A125)</f>
        <v>378.18181818181819</v>
      </c>
    </row>
    <row r="150" spans="1:6" x14ac:dyDescent="0.25">
      <c r="A150" t="s">
        <v>65</v>
      </c>
    </row>
    <row r="151" spans="1:6" x14ac:dyDescent="0.25">
      <c r="A151" t="s">
        <v>66</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8" zoomScaleNormal="78" workbookViewId="0">
      <selection activeCell="AD12" sqref="AD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Monthly Activity</vt:lpstr>
      <vt:lpstr> Likes by Topic</vt:lpstr>
      <vt:lpstr> Plateform Analysis</vt:lpstr>
      <vt:lpstr> Tranding Topics</vt:lpstr>
      <vt:lpstr>sentiment distribution</vt:lpstr>
      <vt:lpstr>social media sentiment Project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2026-06-15T20:34:38Z</dcterms:created>
  <dcterms:modified xsi:type="dcterms:W3CDTF">2026-06-17T05:42:43Z</dcterms:modified>
</cp:coreProperties>
</file>